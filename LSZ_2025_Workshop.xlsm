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499AFE36-ED4D-9D94-70EF-1DFAAA4259C6}"/>
  <workbookPr updateLinks="always" codeName="ThisWorkbook" defaultThemeVersion="166925"/>
  <mc:AlternateContent xmlns:mc="http://schemas.openxmlformats.org/markup-compatibility/2006">
    <mc:Choice Requires="x15">
      <x15ac:absPath xmlns:x15ac="http://schemas.microsoft.com/office/spreadsheetml/2010/11/ac" url="https://globalscientificsolutions-my.sharepoint.com/personal/georgios_miskakis_evidentscientific_com/Documents/Jiorgos/XternalPresentations/LSZ2025/Repo/"/>
    </mc:Choice>
  </mc:AlternateContent>
  <xr:revisionPtr revIDLastSave="865" documentId="8_{33F3958A-C37C-4378-9A35-7FFE535D237D}" xr6:coauthVersionLast="47" xr6:coauthVersionMax="47" xr10:uidLastSave="{A1439B8C-B4DB-4062-A8C2-A5B982E9521E}"/>
  <bookViews>
    <workbookView xWindow="-28800" yWindow="-16545" windowWidth="29040" windowHeight="15720" activeTab="2" xr2:uid="{00000000-000D-0000-FFFF-FFFF00000000}"/>
  </bookViews>
  <sheets>
    <sheet name="1.Scenario Controls" sheetId="13" r:id="rId1"/>
    <sheet name="2.Assessment Responses" sheetId="6" r:id="rId2"/>
    <sheet name="3.Risk Calc" sheetId="17" r:id="rId3"/>
    <sheet name="BulkExport" sheetId="11" state="hidden" r:id="rId4"/>
  </sheets>
  <definedNames>
    <definedName name="_A">#REF!</definedName>
    <definedName name="_D" localSheetId="2">#REF!</definedName>
    <definedName name="_D">#REF!</definedName>
    <definedName name="_E" localSheetId="2">#REF!</definedName>
    <definedName name="_E">#REF!</definedName>
    <definedName name="_F">#REF!</definedName>
    <definedName name="_G">#REF!</definedName>
    <definedName name="_H" localSheetId="2">#REF!</definedName>
    <definedName name="_H">#REF!</definedName>
    <definedName name="_I" localSheetId="2">#REF!</definedName>
    <definedName name="_I">#REF!</definedName>
    <definedName name="_J">#REF!</definedName>
    <definedName name="_K" localSheetId="2">#REF!</definedName>
    <definedName name="_K">#REF!</definedName>
    <definedName name="_L">#REF!</definedName>
    <definedName name="_M">#REF!</definedName>
    <definedName name="_N">#REF!</definedName>
    <definedName name="_P" localSheetId="2">#REF!</definedName>
    <definedName name="_P">#REF!</definedName>
    <definedName name="_Q" localSheetId="2">#REF!</definedName>
    <definedName name="_Q">#REF!</definedName>
    <definedName name="_R">#REF!</definedName>
    <definedName name="_S">#REF!</definedName>
    <definedName name="Range_000000">#REF!</definedName>
    <definedName name="Range_000012">#REF!</definedName>
    <definedName name="Range_000013">#REF!</definedName>
    <definedName name="Range_000014">#REF!</definedName>
    <definedName name="Range_000015">#REF!</definedName>
    <definedName name="Range_000016">#REF!</definedName>
    <definedName name="Range_000017">#REF!</definedName>
    <definedName name="Range_000018">#REF!</definedName>
    <definedName name="Range_000019">#REF!</definedName>
    <definedName name="Range_000020">#REF!</definedName>
    <definedName name="Range_000021">#REF!</definedName>
    <definedName name="Range_000022">#REF!</definedName>
    <definedName name="Range_000023">#REF!</definedName>
    <definedName name="Range_000024">#REF!</definedName>
    <definedName name="Range_000025">#REF!</definedName>
    <definedName name="Range_000026">#REF!</definedName>
    <definedName name="Range_000027">#REF!</definedName>
    <definedName name="Range_000028">#REF!</definedName>
    <definedName name="Range_000029">#REF!</definedName>
    <definedName name="Range_000030">#REF!</definedName>
    <definedName name="Range_000031">#REF!</definedName>
    <definedName name="Range_000032">#REF!</definedName>
    <definedName name="Range_000033">#REF!</definedName>
    <definedName name="Range_000034">#REF!</definedName>
    <definedName name="Range_000035">#REF!</definedName>
    <definedName name="Range_000036">#REF!</definedName>
    <definedName name="Range_000037">#REF!</definedName>
    <definedName name="Range_000038">#REF!</definedName>
    <definedName name="Range_000039">#REF!</definedName>
    <definedName name="Range_000040">#REF!</definedName>
    <definedName name="Range_000041">#REF!</definedName>
    <definedName name="Range_000042">#REF!</definedName>
    <definedName name="Range_000043">#REF!</definedName>
    <definedName name="Range_000044">#REF!</definedName>
    <definedName name="Range_000045">#REF!</definedName>
    <definedName name="Range_000046">#REF!</definedName>
    <definedName name="Range_000047">#REF!</definedName>
    <definedName name="Range_000048">#REF!</definedName>
    <definedName name="Range_000049">#REF!</definedName>
    <definedName name="Range_000050">#REF!</definedName>
    <definedName name="Range_000051">#REF!</definedName>
    <definedName name="Range_000052">#REF!</definedName>
    <definedName name="Range_000053">#REF!</definedName>
    <definedName name="Range_000054">#REF!</definedName>
    <definedName name="Range_000055">#REF!</definedName>
    <definedName name="Range_000056">#REF!</definedName>
    <definedName name="Range_000057">#REF!</definedName>
    <definedName name="Range_000058">#REF!</definedName>
    <definedName name="Range_000059">#REF!</definedName>
    <definedName name="Range_000060">#REF!</definedName>
    <definedName name="Range_000061">#REF!</definedName>
    <definedName name="Range_000062">#REF!</definedName>
    <definedName name="Range_000063">#REF!</definedName>
    <definedName name="Range_000064">#REF!</definedName>
    <definedName name="Range_000065">#REF!</definedName>
    <definedName name="Range_000066">#REF!</definedName>
    <definedName name="Range_000067">#REF!</definedName>
    <definedName name="Range_000068">#REF!</definedName>
    <definedName name="Range_000069">#REF!</definedName>
    <definedName name="Range_000070">#REF!</definedName>
    <definedName name="Range_000072">#REF!</definedName>
    <definedName name="Range_000073">#REF!</definedName>
    <definedName name="Range_000074">#REF!</definedName>
    <definedName name="Range_000075">#REF!</definedName>
    <definedName name="Range_000076">#REF!</definedName>
    <definedName name="Range_000077">#REF!</definedName>
    <definedName name="Range_000078">#REF!</definedName>
    <definedName name="Range_000079">#REF!</definedName>
    <definedName name="Range_000080">#REF!</definedName>
    <definedName name="Range_000081">#REF!</definedName>
    <definedName name="Range_000082">#REF!</definedName>
    <definedName name="Range_000083">#REF!</definedName>
    <definedName name="Range_000084">#REF!</definedName>
    <definedName name="Range_000085">#REF!</definedName>
    <definedName name="Range_000086">#REF!</definedName>
    <definedName name="Range_000087">#REF!</definedName>
    <definedName name="Range_000088">#REF!</definedName>
    <definedName name="Range_000089">#REF!</definedName>
    <definedName name="Range_000090">#REF!</definedName>
    <definedName name="Range_000091">#REF!</definedName>
    <definedName name="Range_000092">#REF!</definedName>
    <definedName name="Range_000093">#REF!</definedName>
    <definedName name="Range_000094">#REF!</definedName>
    <definedName name="Range_000095">#REF!</definedName>
    <definedName name="Range_000096">#REF!</definedName>
    <definedName name="Range_000097">#REF!</definedName>
    <definedName name="Range_000098">#REF!</definedName>
    <definedName name="Range_000099">#REF!</definedName>
    <definedName name="Range_000101">#REF!</definedName>
    <definedName name="Range_000102">#REF!</definedName>
    <definedName name="Range_000103">#REF!</definedName>
    <definedName name="Range_000104">#REF!</definedName>
    <definedName name="Range_000105">#REF!</definedName>
    <definedName name="Range_000106">#REF!</definedName>
    <definedName name="Range_000107">#REF!</definedName>
    <definedName name="Range_000108">#REF!</definedName>
    <definedName name="Range_000109">#REF!</definedName>
    <definedName name="Range_000110">#REF!</definedName>
    <definedName name="Range_000111">#REF!</definedName>
    <definedName name="Range_000112">#REF!</definedName>
    <definedName name="Range_000113">#REF!</definedName>
    <definedName name="Range_000114">#REF!</definedName>
    <definedName name="Range_000115">#REF!</definedName>
    <definedName name="Range_000116">#REF!</definedName>
    <definedName name="Range_000117">#REF!</definedName>
    <definedName name="Range_000118">#REF!</definedName>
    <definedName name="Range_000119">#REF!</definedName>
    <definedName name="Range_000120">#REF!</definedName>
    <definedName name="Range_000121">#REF!</definedName>
    <definedName name="Range_000122">#REF!</definedName>
    <definedName name="Range_000123">#REF!</definedName>
    <definedName name="Range_000124">#REF!</definedName>
    <definedName name="Range_000125">#REF!</definedName>
    <definedName name="Range_000126">#REF!</definedName>
    <definedName name="Range_000127">#REF!</definedName>
    <definedName name="Range_000128">#REF!</definedName>
    <definedName name="Range_000129">#REF!</definedName>
    <definedName name="Range_000130">#REF!</definedName>
    <definedName name="Range_000131">#REF!</definedName>
    <definedName name="Range_000132">#REF!</definedName>
    <definedName name="Range_000133">#REF!</definedName>
    <definedName name="Range_000134">#REF!</definedName>
    <definedName name="Range_000135">#REF!</definedName>
    <definedName name="Range_000136">#REF!</definedName>
    <definedName name="Range_000137">#REF!</definedName>
    <definedName name="Range_000138">#REF!</definedName>
    <definedName name="Range_000139">#REF!</definedName>
    <definedName name="Range_000140">#REF!</definedName>
    <definedName name="Range_000141">#REF!</definedName>
    <definedName name="Range_000142">#REF!</definedName>
    <definedName name="Range_000143">#REF!</definedName>
    <definedName name="Range_000144">#REF!</definedName>
    <definedName name="Range_000145">#REF!</definedName>
    <definedName name="Range_000146">#REF!</definedName>
    <definedName name="Range_000147">#REF!</definedName>
    <definedName name="Range_000148">#REF!</definedName>
    <definedName name="Range_000149">#REF!</definedName>
    <definedName name="Range_000150">#REF!</definedName>
    <definedName name="Range_000151">#REF!</definedName>
    <definedName name="Range_000152">#REF!</definedName>
    <definedName name="Range_000153">#REF!</definedName>
    <definedName name="Range_000154">#REF!</definedName>
    <definedName name="Range_000155">#REF!</definedName>
    <definedName name="Range_000156">#REF!</definedName>
    <definedName name="Range_000157">#REF!</definedName>
    <definedName name="Range_000158">#REF!</definedName>
    <definedName name="Range_000159">#REF!</definedName>
    <definedName name="Range_000161">#REF!</definedName>
    <definedName name="Range_000162">#REF!</definedName>
    <definedName name="Range_000163">#REF!</definedName>
    <definedName name="Range_000164">#REF!</definedName>
    <definedName name="Range_000165">#REF!</definedName>
    <definedName name="Range_000166">#REF!</definedName>
    <definedName name="Range_000167">#REF!</definedName>
    <definedName name="Range_000168">#REF!</definedName>
    <definedName name="Range_000169">#REF!</definedName>
    <definedName name="Range_000170">#REF!</definedName>
    <definedName name="Range_000171">#REF!</definedName>
    <definedName name="Range_000172">#REF!</definedName>
    <definedName name="Range_000173">#REF!</definedName>
    <definedName name="Range_000174">#REF!</definedName>
    <definedName name="Range_000175">#REF!</definedName>
    <definedName name="Range_000176">#REF!</definedName>
    <definedName name="Range_000177">#REF!</definedName>
    <definedName name="Range_000178">#REF!</definedName>
    <definedName name="Range_000180">#REF!</definedName>
    <definedName name="Range_000181">#REF!</definedName>
    <definedName name="Range_000182">#REF!</definedName>
    <definedName name="Range_000183">#REF!</definedName>
    <definedName name="Range_000184">#REF!</definedName>
    <definedName name="Range_000185">#REF!</definedName>
    <definedName name="Range_000186">#REF!</definedName>
    <definedName name="Range_000187">#REF!</definedName>
    <definedName name="Range_000188">#REF!</definedName>
    <definedName name="Range_000189">#REF!</definedName>
    <definedName name="Range_000190">#REF!</definedName>
    <definedName name="Range_000191">#REF!</definedName>
    <definedName name="Range_000192">#REF!</definedName>
    <definedName name="Range_000193">#REF!</definedName>
    <definedName name="Range_000194">#REF!</definedName>
    <definedName name="Range_000195">#REF!</definedName>
    <definedName name="Range_000196">#REF!</definedName>
    <definedName name="Range_000197">#REF!</definedName>
    <definedName name="Range_000198">#REF!</definedName>
    <definedName name="Range_000199">#REF!</definedName>
    <definedName name="Range_000200">#REF!</definedName>
    <definedName name="Range_000201">#REF!</definedName>
    <definedName name="Range_000202">#REF!</definedName>
    <definedName name="Range_000203">#REF!</definedName>
    <definedName name="Range_000204">#REF!</definedName>
    <definedName name="Range_000205">#REF!</definedName>
    <definedName name="Range_000206">#REF!</definedName>
    <definedName name="Range_000207">#REF!</definedName>
    <definedName name="Range_000208">#REF!</definedName>
    <definedName name="Range_000209">#REF!</definedName>
    <definedName name="Range_000210">#REF!</definedName>
    <definedName name="Range_000211">#REF!</definedName>
    <definedName name="Range_000212">#REF!</definedName>
    <definedName name="Range_000213">#REF!</definedName>
    <definedName name="Range_000214">#REF!</definedName>
    <definedName name="Range_000215">#REF!</definedName>
    <definedName name="Range_000216">#REF!</definedName>
    <definedName name="Range_000217">#REF!</definedName>
    <definedName name="Range_000218">#REF!</definedName>
    <definedName name="Range_000219">#REF!</definedName>
    <definedName name="Range_000220">#REF!</definedName>
    <definedName name="Range_000221">#REF!</definedName>
    <definedName name="Range_000222">#REF!</definedName>
    <definedName name="Range_000223">#REF!</definedName>
    <definedName name="Range_000224">#REF!</definedName>
    <definedName name="Range_000225">#REF!</definedName>
    <definedName name="Range_000226">#REF!</definedName>
    <definedName name="Range_000227">#REF!</definedName>
    <definedName name="Range_000228">#REF!</definedName>
    <definedName name="Range_000229">#REF!</definedName>
    <definedName name="Range_000230">#REF!</definedName>
    <definedName name="Range_000231">#REF!</definedName>
    <definedName name="Range_000232">#REF!</definedName>
    <definedName name="Range_000233">#REF!</definedName>
    <definedName name="Range_000234">#REF!</definedName>
    <definedName name="Range_000235">#REF!</definedName>
    <definedName name="Range_000236">#REF!</definedName>
    <definedName name="Range_000237">#REF!</definedName>
    <definedName name="Range_000238">#REF!</definedName>
    <definedName name="Range_000239">#REF!</definedName>
    <definedName name="Range_000240">#REF!</definedName>
    <definedName name="Range_000241">#REF!</definedName>
    <definedName name="Range_000242">#REF!</definedName>
    <definedName name="Range_000243">#REF!</definedName>
    <definedName name="Range_000244">#REF!</definedName>
    <definedName name="Range_000245">#REF!</definedName>
    <definedName name="Range_000246">#REF!</definedName>
    <definedName name="Range_000247">#REF!</definedName>
    <definedName name="Range_000248">#REF!</definedName>
    <definedName name="Range_000249">#REF!</definedName>
    <definedName name="Range_000250">#REF!</definedName>
    <definedName name="Range_000251">#REF!</definedName>
    <definedName name="Range_000254">#REF!</definedName>
    <definedName name="RickCalc_v2">#REF!</definedName>
    <definedName name="RiskCalc_3">#REF!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17" l="1" a="1"/>
  <c r="I4" i="17"/>
  <c r="G4" i="17"/>
  <c r="M4" i="17"/>
  <c r="I7" i="11" l="1"/>
  <c r="I6" i="11"/>
  <c r="I5" i="11"/>
  <c r="I4" i="11"/>
  <c r="L3" i="11"/>
  <c r="L4" i="11"/>
  <c r="L5" i="11"/>
  <c r="L6" i="11"/>
  <c r="L7" i="11"/>
  <c r="L2" i="11"/>
  <c r="A3" i="11"/>
  <c r="A4" i="11"/>
  <c r="A5" i="11"/>
  <c r="A6" i="11"/>
  <c r="A7" i="11"/>
  <c r="A2" i="11"/>
  <c r="H4" i="17"/>
  <c r="J4" i="17"/>
  <c r="E4" i="17"/>
  <c r="F7" i="11"/>
  <c r="F6" i="11"/>
  <c r="F5" i="11"/>
  <c r="F2" i="11"/>
  <c r="Q4" i="17"/>
  <c r="F4" i="11" s="1"/>
  <c r="F3" i="11"/>
  <c r="O4" i="17" l="1"/>
  <c r="W2" i="11"/>
  <c r="V2" i="11"/>
  <c r="V3" i="11"/>
  <c r="N4" i="17" l="1"/>
  <c r="W3" i="11" l="1"/>
  <c r="V4" i="11"/>
  <c r="W4" i="11" l="1"/>
  <c r="P4" i="17" l="1"/>
  <c r="V5" i="11"/>
  <c r="V6" i="11" l="1"/>
  <c r="I3" i="11"/>
  <c r="C3" i="11"/>
  <c r="D3" i="11" s="1"/>
  <c r="C4" i="17"/>
  <c r="C4" i="11" s="1"/>
  <c r="D4" i="11" s="1"/>
  <c r="C5" i="11"/>
  <c r="D5" i="11" s="1"/>
  <c r="C6" i="11"/>
  <c r="D6" i="11" s="1"/>
  <c r="C2" i="11"/>
  <c r="D2" i="11" s="1"/>
  <c r="I2" i="11"/>
  <c r="B3" i="13"/>
  <c r="D4" i="17" s="1"/>
  <c r="C7" i="11" l="1"/>
  <c r="D7" i="11" s="1"/>
  <c r="W5" i="11"/>
  <c r="V7" i="11"/>
  <c r="W6" i="11" l="1"/>
  <c r="W7" i="11"/>
  <c r="P3"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tc={E4E02149-E0C3-49E7-9188-ABDB64C367ED}</author>
    <author>tc={94F9B0B9-D218-470E-A865-E399335EA56C}</author>
  </authors>
  <commentList>
    <comment ref="H3" authorId="0" shapeId="0" xr:uid="{E4E02149-E0C3-49E7-9188-ABDB64C367ED}">
      <text>
        <t>[Threaded comment]
Your version of Excel allows you to read this threaded comment; however, any edits to it will get removed if the file is opened in a newer version of Excel. Learn more: https://go.microsoft.com/fwlink/?linkid=870924
Comment:
    We can mark those missing controls that do not exist and there is no need to ask the participants in our assessment</t>
      </text>
    </comment>
    <comment ref="K3" authorId="1" shapeId="0" xr:uid="{94F9B0B9-D218-470E-A865-E399335EA56C}">
      <text>
        <t>[Threaded comment]
Your version of Excel allows you to read this threaded comment; however, any edits to it will get removed if the file is opened in a newer version of Excel. Learn more: https://go.microsoft.com/fwlink/?linkid=870924
Comment:
    If controls cannot be controlled by the responder these can be left out by the assessment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tc={6980D451-260D-47C5-8413-B9B293BEF205}</author>
    <author>tc={53569947-CB99-4CB9-906A-E6D8770A6CB2}</author>
    <author>tc={AE3C8C76-4BF9-47CD-B9A7-EB087B5D77B3}</author>
  </authors>
  <commentList>
    <comment ref="A3" authorId="0" shapeId="0" xr:uid="{6980D451-260D-47C5-8413-B9B293BEF205}">
      <text>
        <t>[Threaded comment]
Your version of Excel allows you to read this threaded comment; however, any edits to it will get removed if the file is opened in a newer version of Excel. Learn more: https://go.microsoft.com/fwlink/?linkid=870924
Comment:
    Assessment Responses - v2, starting row per question</t>
      </text>
    </comment>
    <comment ref="M3" authorId="1" shapeId="0" xr:uid="{53569947-CB99-4CB9-906A-E6D8770A6CB2}">
      <text>
        <t xml:space="preserve">[Threaded comment]
Your version of Excel allows you to read this threaded comment; however, any edits to it will get removed if the file is opened in a newer version of Excel. Learn more: https://go.microsoft.com/fwlink/?linkid=870924
Comment:
    2-less than 10
3-more than 10 but less than 100
4-more than 100 but less than 1000
5-more than 1000
</t>
      </text>
    </comment>
    <comment ref="L4" authorId="2" shapeId="0" xr:uid="{AE3C8C76-4BF9-47CD-B9A7-EB087B5D77B3}">
      <text>
        <t xml:space="preserve">[Threaded comment]
Your version of Excel allows you to read this threaded comment; however, any edits to it will get removed if the file is opened in a newer version of Excel. Learn more: https://go.microsoft.com/fwlink/?linkid=870924
Comment:
    Can be added into the equation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<sst xmlns="http://schemas.openxmlformats.org/spreadsheetml/2006/main" count="152" uniqueCount="123">
  <si>
    <t>Description</t>
  </si>
  <si>
    <t>Question</t>
  </si>
  <si>
    <t>Response</t>
  </si>
  <si>
    <t>Unique Identifier</t>
  </si>
  <si>
    <t>Assessment Name</t>
  </si>
  <si>
    <t>d3f357e3-c354-4c22-8e30-56602a7eb5ba</t>
  </si>
  <si>
    <t>Assessment Number</t>
  </si>
  <si>
    <t>AssessmentNumber</t>
  </si>
  <si>
    <t>Template Name</t>
  </si>
  <si>
    <t>7d9403b4-50e7-4e79-952e-99cf56c9fc9b</t>
  </si>
  <si>
    <t>Organization Name</t>
  </si>
  <si>
    <t>30ab7a55-eeca-4d28-bf4d-44e069918835</t>
  </si>
  <si>
    <t>Evident EMEA</t>
  </si>
  <si>
    <t>1.1 Asset Name (Single selection allowed)</t>
  </si>
  <si>
    <t>36220933-39f5-4080-b30f-12246627bded</t>
  </si>
  <si>
    <t>1.2 Availability (Single selection allowed) *</t>
  </si>
  <si>
    <t>478df910-3a71-4aa4-9446-54dd547a59e1</t>
  </si>
  <si>
    <t>1.3 Confidentiality (Single selection allowed) *</t>
  </si>
  <si>
    <t>39c285c6-4f88-43d8-83cf-6915f6dbdb22</t>
  </si>
  <si>
    <t>1.4 Integrity (Single selection allowed) *</t>
  </si>
  <si>
    <t>Data integrity is the maintenance of, and the assurance of, data accuracy and consistency over its entire life-cycle: Data can be created for short time and immediately destroyed. Data Quality is "fit for purpose" Data at this level has no specific integrity requirements. It includes publicly available information or data that doesn't require any special protections. Data at this level is less sensitive and can tolerate a certain degree of modification or inadvertent errors. However, it still requires basic safeguards to prevent unauthorized alterations. Data at this level is moderately sensitive and requires protection from unauthorized access and deliberate modification. Access controls and monitoring mechanisms are in place to maintain its integrity. Data at this level is highly sensitive and critical. It requires the strictest controls to prevent unauthorized access, modification, or tampering.</t>
  </si>
  <si>
    <t>1f429cff-0050-41d3-9ae2-572ebafb4746</t>
  </si>
  <si>
    <t>Yes</t>
  </si>
  <si>
    <t>1.6 Exposure:User (Single selection allowed) *</t>
  </si>
  <si>
    <t>This is the number of the supported authenticated users, included the administrators.</t>
  </si>
  <si>
    <t>a2b1385e-13a5-4d94-962e-7a84e5e74fb4</t>
  </si>
  <si>
    <t>4.2 Reduce Impact (Multiple selections allowed) (Justification allowed) *</t>
  </si>
  <si>
    <t>47cd561a-8ea4-46e1-9a9f-8ae8a44e2c0c</t>
  </si>
  <si>
    <t>4.3 Reduce Likelihood (Multiple selections allowed) (Justification allowed) *</t>
  </si>
  <si>
    <t>eee1ca48-d151-4814-88f3-6900ca7c20ee</t>
  </si>
  <si>
    <t>4.4 Governance Controls (Multiple selections allowed) (Justification allowed) *</t>
  </si>
  <si>
    <t>fad8e35b-a9e2-4ce3-8b79-9e1fc26689b4</t>
  </si>
  <si>
    <t>Impact</t>
  </si>
  <si>
    <t>Likelihood</t>
  </si>
  <si>
    <t>Number of Users:</t>
  </si>
  <si>
    <t>more than 100 but less than 1000</t>
  </si>
  <si>
    <t>Impact Weighted Levels =&gt;</t>
  </si>
  <si>
    <t>Likelihood Weighted Levels=&gt;</t>
  </si>
  <si>
    <t>Total Score</t>
  </si>
  <si>
    <t>Risk Type</t>
  </si>
  <si>
    <t>ID</t>
  </si>
  <si>
    <t>Is Scenario Relevant</t>
  </si>
  <si>
    <t>Risk Scenario</t>
  </si>
  <si>
    <t>Expected Total</t>
  </si>
  <si>
    <t>Expected Impact Reduction</t>
  </si>
  <si>
    <t>Found Impact Reduction</t>
  </si>
  <si>
    <t>Asset Value from CIA</t>
  </si>
  <si>
    <t xml:space="preserve">Expected Governance Controls </t>
  </si>
  <si>
    <t xml:space="preserve">Found Governance Controls  </t>
  </si>
  <si>
    <t xml:space="preserve">Expected Tech Controls </t>
  </si>
  <si>
    <t xml:space="preserve">Found Tech Controls </t>
  </si>
  <si>
    <t>Exposure:Type</t>
  </si>
  <si>
    <t xml:space="preserve">Exposure:Malicious User </t>
  </si>
  <si>
    <t>Risk Scenario Impact</t>
  </si>
  <si>
    <t>Risk Scenario Likelihood</t>
  </si>
  <si>
    <t>Inventory Id</t>
  </si>
  <si>
    <t>Inventory Type</t>
  </si>
  <si>
    <t>Risk Name</t>
  </si>
  <si>
    <t>Organization</t>
  </si>
  <si>
    <t>Category</t>
  </si>
  <si>
    <t>Threat</t>
  </si>
  <si>
    <t>Vulnerability</t>
  </si>
  <si>
    <t>Treatment Plan</t>
  </si>
  <si>
    <t>Treatment</t>
  </si>
  <si>
    <t>Risk Approver</t>
  </si>
  <si>
    <t>Risk Owner</t>
  </si>
  <si>
    <t>Deadline</t>
  </si>
  <si>
    <t>Reminder</t>
  </si>
  <si>
    <t>Related</t>
  </si>
  <si>
    <t>Control IDs</t>
  </si>
  <si>
    <t>Custom Workflow Name</t>
  </si>
  <si>
    <t>Workflow Stage</t>
  </si>
  <si>
    <t>Treatment Status</t>
  </si>
  <si>
    <t>Monitoring Result</t>
  </si>
  <si>
    <t>Comments</t>
  </si>
  <si>
    <t>Inherent Impact Level</t>
  </si>
  <si>
    <t>Inherent Probability Level</t>
  </si>
  <si>
    <t>ASSETS</t>
  </si>
  <si>
    <t>UnderReview</t>
  </si>
  <si>
    <t>Core Business Operations</t>
  </si>
  <si>
    <t>Information security awareness, education and training</t>
  </si>
  <si>
    <t>Secure authentication</t>
  </si>
  <si>
    <t>3</t>
  </si>
  <si>
    <t>more than 10 but less than 100</t>
  </si>
  <si>
    <t>Governance Controls Through ISMS Policies / Documentation</t>
  </si>
  <si>
    <t>Risk Group</t>
  </si>
  <si>
    <t>Number of Controls</t>
  </si>
  <si>
    <t>Control 1</t>
  </si>
  <si>
    <t>Control 2</t>
  </si>
  <si>
    <t>Control 3</t>
  </si>
  <si>
    <t>Control 4</t>
  </si>
  <si>
    <t>Control 5</t>
  </si>
  <si>
    <t>Control 6</t>
  </si>
  <si>
    <t>Control 7</t>
  </si>
  <si>
    <t>Control 8</t>
  </si>
  <si>
    <t>Control 9</t>
  </si>
  <si>
    <t>Select from Drop Down</t>
  </si>
  <si>
    <t>Review status</t>
  </si>
  <si>
    <t>Security Incident Management / SOC</t>
  </si>
  <si>
    <t>MyAPP</t>
  </si>
  <si>
    <t>4</t>
  </si>
  <si>
    <t>SPF, DKIM and DMARC are enabled and configured</t>
  </si>
  <si>
    <t>Technical controls to reduce the likelihood of successful attacks by increasing complexity and limiting attacker success</t>
  </si>
  <si>
    <t>MFA is enabled</t>
  </si>
  <si>
    <t>Endpoint Protection &amp; Threat Detection</t>
  </si>
  <si>
    <t>Simulated Phishing Exercises</t>
  </si>
  <si>
    <t>Access control Policy</t>
  </si>
  <si>
    <t>Response Plan</t>
  </si>
  <si>
    <t>Can remain out of order till someone will decide otherwise. No side-effect. (Low) Up to 3d / Some impact on operations in terms of delays, system quality, but able to be dealt at operational level (Medium) Up to 8h / Impact on the operation in reduced performance such as targets are not met. Organizations existence is not threatened , but could be subject to significant review (Critical) Up to 6h / Breakdown of key activities leading to reduction in performance (e.g. service delays, revenue loss, client dissatisfaction, legislative breaches) (Mission Critical) Max. 4h outage / Critical failure preventing core activities from being performed. Survival of project/activity/organization is threatened</t>
  </si>
  <si>
    <t>Public Basic Personal Identification Basic Employment Information Marketing Professional Experience &amp; Affiliations Social Internal Use Only information Business Customer Data Customer Contact Information Multimedia Device Data Travel &amp; Expense Confidential Information shared with multiple (internal) groups Education &amp; Skills Confidential Information with a single closed group, (external customer+internal group) Background Checks Communication Data Biometric, Genetic Contact (Sensitive) Information Employment Information Family Information Financial Genetic Government Identifiers Personal Identification details User Account Information Browsing Information Compliance Cases/Workplace Wellfare Employee/Customer Contracts Business Customer Data Protected with a contract Copyright Data / Patents / Blueprints</t>
  </si>
  <si>
    <t>Public Internet / Intranet</t>
  </si>
  <si>
    <t>Detective/Preventive/Respont/Recover Controls to Reduce Impact</t>
  </si>
  <si>
    <t>A phishing attack is targeting our company in order to get access into our enviroment. Which controls are able to use inside your area of responsibility?</t>
  </si>
  <si>
    <t>Have all of the team members been participated into the Simulated phishing  exercise?</t>
  </si>
  <si>
    <t>No</t>
  </si>
  <si>
    <t>Have you read and understood the Access control Policy?</t>
  </si>
  <si>
    <t>Have you read and understood the Information security awareness education ?</t>
  </si>
  <si>
    <t>Is this application  password protected with XYZ length and complexity over HTTPS only?</t>
  </si>
  <si>
    <t>The above is 1 because the scenario includes 3 controls, the response plan is missing and the responder answer with no in one of the 2 remaining controls</t>
  </si>
  <si>
    <t>This is 3 because the endpoint protection is something that the responder cannot manage. Only Reporting and the MFA can be verified by himself</t>
  </si>
  <si>
    <t>Is your privileged account protected with MFA?</t>
  </si>
  <si>
    <t>Do you know how to report the phishing attempt (to Security Operation Center) SOC?</t>
  </si>
  <si>
    <t>The above is 1 because the scenario includes 3 controls, DMARC is missing , none all of the team members participated into the simulated exercise. The only active control is the password and complexity length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</si>
</sst>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5"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1"/>
      <color theme="10"/>
      <name val="Calibri"/>
      <family val="2"/>
      <scheme val="minor"/>
    </font>
    <font>
      <sz val="11"/>
      <color indexed="8"/>
      <name val="Calibri"/>
      <family val="2"/>
    </font>
    <font>
      <b/>
      <sz val="11"/>
      <color indexed="8"/>
      <name val="Calibri"/>
      <family val="2"/>
    </font>
    <font>
      <b/>
      <sz val="11"/>
      <color theme="3"/>
      <name val="Calibri"/>
      <family val="2"/>
      <scheme val="minor"/>
    </font>
    <font>
      <sz val="11"/>
      <color rgb="FF9C0006"/>
      <name val="Calibri"/>
      <family val="2"/>
      <scheme val="minor"/>
    </font>
    <font>
      <b/>
      <sz val="12"/>
      <color indexed="8"/>
      <name val="Calibri"/>
      <family val="2"/>
      <scheme val="minor"/>
    </font>
    <font>
      <sz val="11"/>
      <color rgb="FFFF0000"/>
      <name val="Calibri"/>
      <family val="2"/>
      <scheme val="minor"/>
    </font>
    <font>
      <sz val="8"/>
      <color rgb="FF111111"/>
      <name val="Roboto"/>
    </font>
    <font>
      <sz val="8"/>
      <color rgb="FF1E1E1E"/>
      <name val="Segoe UI"/>
      <family val="2"/>
    </font>
    <font>
      <b/>
      <sz val="11"/>
      <color theme="0"/>
      <name val="Calibri"/>
      <family val="2"/>
      <scheme val="minor"/>
    </font>
    <font>
      <sz val="11"/>
      <color theme="0"/>
      <name val="Calibri"/>
      <family val="2"/>
      <scheme val="minor"/>
    </font>
    <font>
      <sz val="11"/>
      <color rgb="FFFF0000"/>
      <name val="Calibri"/>
      <family val="2"/>
    </font>
    <font>
      <b/>
      <sz val="11"/>
      <color rgb="FF9C0006"/>
      <name val="Calibri"/>
      <family val="2"/>
      <scheme val="minor"/>
    </font>
    <font>
      <b/>
      <sz val="11"/>
      <color rgb="FFFF0000"/>
      <name val="Calibri"/>
      <family val="2"/>
      <scheme val="minor"/>
    </font>
    <font>
      <b/>
      <sz val="11"/>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rgb="FFD7D7D7"/>
      </patternFill>
    </fill>
    <fill>
      <patternFill patternType="solid">
        <fgColor rgb="FFFFC7CE"/>
      </patternFill>
    </fill>
    <fill>
      <patternFill patternType="solid">
        <fgColor rgb="FFFFEB9C"/>
      </patternFill>
    </fill>
    <fill>
      <patternFill patternType="solid">
        <fgColor rgb="FFFFCCCC"/>
        <bgColor indexed="64"/>
      </patternFill>
    </fill>
    <fill>
      <patternFill patternType="solid">
        <fgColor theme="7" tint="0.79998168889431442"/>
        <bgColor indexed="64"/>
      </patternFill>
    </fill>
    <fill>
      <patternFill patternType="solid">
        <fgColor theme="5" tint="0.79998168889431442"/>
        <bgColor indexed="65"/>
      </patternFill>
    </fill>
    <fill>
      <patternFill patternType="solid">
        <fgColor indexed="23"/>
      </patternFill>
    </fill>
    <fill>
      <patternFill patternType="solid">
        <fgColor theme="7" tint="-0.249977111117893"/>
        <bgColor indexed="64"/>
      </patternFill>
    </fill>
    <fill>
      <patternFill patternType="solid">
        <fgColor theme="5" tint="0.39997558519241921"/>
        <bgColor indexed="64"/>
      </patternFill>
    </fill>
    <fill>
      <patternFill patternType="solid">
        <fgColor theme="5"/>
        <bgColor indexed="64"/>
      </patternFill>
    </fill>
    <fill>
      <patternFill patternType="solid">
        <fgColor theme="8"/>
        <bgColor indexed="64"/>
      </patternFill>
    </fill>
    <fill>
      <patternFill patternType="solid">
        <fgColor rgb="FF800080"/>
        <bgColor indexed="64"/>
      </patternFill>
    </fill>
    <fill>
      <patternFill patternType="solid">
        <fgColor rgb="FFCC3399"/>
        <bgColor indexed="64"/>
      </patternFill>
    </fill>
    <fill>
      <patternFill patternType="solid">
        <fgColor theme="8" tint="-0.499984740745262"/>
        <bgColor indexed="64"/>
      </patternFill>
    </fill>
    <fill>
      <patternFill patternType="solid">
        <fgColor theme="6"/>
        <bgColor indexed="64"/>
      </patternFill>
    </fill>
  </fills>
  <borders count="5">
    <border>
      <left/>
      <right/>
      <top/>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2">
    <xf numFmtId="0" fontId="0" fillId="0" borderId="0"/>
    <xf numFmtId="0" fontId="9" fillId="0" borderId="0"/>
    <xf numFmtId="0" fontId="10" fillId="0" borderId="0" applyNumberFormat="0" applyFill="0" applyBorder="0" applyAlignment="0" applyProtection="0"/>
    <xf numFmtId="0" fontId="13" fillId="0" borderId="2" applyNumberFormat="0" applyFill="0" applyAlignment="0" applyProtection="0"/>
    <xf numFmtId="0" fontId="14" fillId="4" borderId="0" applyNumberFormat="0" applyBorder="0" applyAlignment="0" applyProtection="0"/>
    <xf numFmtId="0" fontId="8" fillId="8" borderId="0" applyNumberFormat="0" applyBorder="0" applyAlignment="0" applyProtection="0"/>
    <xf numFmtId="0" fontId="8" fillId="0" borderId="0"/>
    <xf numFmtId="0" fontId="7" fillId="0" borderId="0"/>
    <xf numFmtId="0" fontId="6" fillId="0" borderId="0"/>
    <xf numFmtId="0" fontId="5" fillId="0" borderId="0"/>
    <xf numFmtId="0" fontId="4" fillId="0" borderId="0"/>
    <xf numFmtId="0" fontId="16" fillId="0" borderId="0" applyNumberFormat="0" applyFill="0" applyBorder="0" applyAlignment="0" applyProtection="0"/>
  </cellStyleXfs>
  <cellXfs count="71">
    <xf numFmtId="0" fontId="0" fillId="0" borderId="0" xfId="0"/>
    <xf numFmtId="0" fontId="11" fillId="3" borderId="1" xfId="0" applyFont="1" applyFill="1" applyBorder="1" applyAlignment="1">
      <alignment horizontal="left" vertical="top" wrapText="1"/>
    </xf>
    <xf numFmtId="49" fontId="0" fillId="0" borderId="0" xfId="0" applyNumberFormat="1" applyAlignment="1" applyProtection="1">
      <alignment horizontal="left" vertical="top" wrapText="1"/>
      <protection locked="0"/>
    </xf>
    <xf numFmtId="49" fontId="0" fillId="0" borderId="0" xfId="0" applyNumberFormat="1" applyAlignment="1">
      <alignment horizontal="left" vertical="top" wrapText="1"/>
    </xf>
    <xf numFmtId="0" fontId="14" fillId="4" borderId="2" xfId="4" applyBorder="1" applyAlignment="1">
      <alignment horizontal="center" vertical="top" wrapText="1"/>
    </xf>
    <xf numFmtId="9" fontId="0" fillId="6" borderId="0" xfId="0" applyNumberFormat="1" applyFill="1"/>
    <xf numFmtId="0" fontId="13" fillId="5" borderId="2" xfId="3" applyFill="1" applyAlignment="1">
      <alignment horizontal="center" vertical="top" wrapText="1"/>
    </xf>
    <xf numFmtId="9" fontId="0" fillId="7" borderId="0" xfId="0" applyNumberFormat="1" applyFill="1"/>
    <xf numFmtId="0" fontId="0" fillId="7" borderId="0" xfId="0" applyFill="1"/>
    <xf numFmtId="0" fontId="0" fillId="0" borderId="0" xfId="0" applyAlignment="1">
      <alignment horizontal="center" vertical="top" wrapText="1"/>
    </xf>
    <xf numFmtId="0" fontId="13" fillId="5" borderId="0" xfId="3" applyFill="1" applyBorder="1" applyAlignment="1">
      <alignment horizontal="center" vertical="top" wrapText="1"/>
    </xf>
    <xf numFmtId="2" fontId="0" fillId="0" borderId="0" xfId="0" applyNumberFormat="1"/>
    <xf numFmtId="0" fontId="15" fillId="0" borderId="0" xfId="0" applyFont="1" applyAlignment="1">
      <alignment horizontal="center" vertical="center"/>
    </xf>
    <xf numFmtId="2" fontId="15" fillId="0" borderId="0" xfId="0" applyNumberFormat="1" applyFont="1" applyAlignment="1">
      <alignment horizontal="center" vertical="center"/>
    </xf>
    <xf numFmtId="0" fontId="12" fillId="9" borderId="1" xfId="0" applyFont="1" applyFill="1" applyBorder="1" applyAlignment="1">
      <alignment horizontal="center" vertical="center" wrapText="1"/>
    </xf>
    <xf numFmtId="0" fontId="0" fillId="0" borderId="0" xfId="0" applyAlignment="1">
      <alignment wrapText="1"/>
    </xf>
    <xf numFmtId="0" fontId="0" fillId="0" borderId="0" xfId="0" applyAlignment="1">
      <alignment horizontal="center" wrapText="1"/>
    </xf>
    <xf numFmtId="0" fontId="8" fillId="8" borderId="0" xfId="5" applyAlignment="1">
      <alignment wrapText="1"/>
    </xf>
    <xf numFmtId="0" fontId="0" fillId="0" borderId="3" xfId="0" applyBorder="1" applyAlignment="1">
      <alignment horizontal="left" vertical="top" wrapText="1"/>
    </xf>
    <xf numFmtId="0" fontId="0" fillId="0" borderId="4" xfId="0" applyBorder="1" applyAlignment="1">
      <alignment horizontal="center" wrapText="1"/>
    </xf>
    <xf numFmtId="0" fontId="8" fillId="8" borderId="1" xfId="5" applyBorder="1" applyAlignment="1">
      <alignment wrapText="1"/>
    </xf>
    <xf numFmtId="0" fontId="17" fillId="0" borderId="0" xfId="0" applyFont="1" applyAlignment="1">
      <alignment horizontal="center" wrapText="1"/>
    </xf>
    <xf numFmtId="0" fontId="0" fillId="0" borderId="0" xfId="0" applyAlignment="1">
      <alignment vertical="top" wrapText="1"/>
    </xf>
    <xf numFmtId="0" fontId="8" fillId="0" borderId="0" xfId="6"/>
    <xf numFmtId="0" fontId="10" fillId="0" borderId="0" xfId="2" applyAlignment="1">
      <alignment vertical="top" wrapText="1"/>
    </xf>
    <xf numFmtId="0" fontId="18" fillId="0" borderId="0" xfId="0" applyFont="1"/>
    <xf numFmtId="49" fontId="0" fillId="0" borderId="0" xfId="0" applyNumberFormat="1"/>
    <xf numFmtId="49" fontId="0" fillId="0" borderId="0" xfId="0" applyNumberFormat="1" applyProtection="1">
      <protection locked="0"/>
    </xf>
    <xf numFmtId="0" fontId="19" fillId="10" borderId="2" xfId="3" applyFont="1" applyFill="1" applyAlignment="1"/>
    <xf numFmtId="9" fontId="20" fillId="10" borderId="0" xfId="0" applyNumberFormat="1" applyFont="1" applyFill="1"/>
    <xf numFmtId="0" fontId="19" fillId="10" borderId="2" xfId="3" applyFont="1" applyFill="1" applyAlignment="1">
      <alignment horizontal="center" vertical="top" wrapText="1"/>
    </xf>
    <xf numFmtId="0" fontId="12" fillId="3" borderId="1" xfId="0" applyFont="1" applyFill="1" applyBorder="1" applyAlignment="1">
      <alignment horizontal="center" vertical="center"/>
    </xf>
    <xf numFmtId="49" fontId="19" fillId="10" borderId="2" xfId="3" applyNumberFormat="1" applyFont="1" applyFill="1" applyAlignment="1"/>
    <xf numFmtId="0" fontId="13" fillId="5" borderId="2" xfId="3" applyFill="1" applyAlignment="1">
      <alignment horizontal="center" vertical="center" wrapText="1"/>
    </xf>
    <xf numFmtId="0" fontId="19" fillId="13" borderId="2" xfId="3" applyFont="1" applyFill="1" applyAlignment="1">
      <alignment horizontal="center" vertical="center" wrapText="1"/>
    </xf>
    <xf numFmtId="0" fontId="19" fillId="13" borderId="2" xfId="3" applyFont="1" applyFill="1" applyAlignment="1">
      <alignment horizontal="center" vertical="top" wrapText="1"/>
    </xf>
    <xf numFmtId="0" fontId="20" fillId="14" borderId="2" xfId="4" applyFont="1" applyFill="1" applyBorder="1" applyAlignment="1">
      <alignment horizontal="center" vertical="center" wrapText="1"/>
    </xf>
    <xf numFmtId="0" fontId="19" fillId="14" borderId="0" xfId="0" applyFont="1" applyFill="1" applyAlignment="1">
      <alignment horizontal="center" vertical="center"/>
    </xf>
    <xf numFmtId="0" fontId="20" fillId="15" borderId="2" xfId="4" applyFont="1" applyFill="1" applyBorder="1" applyAlignment="1">
      <alignment horizontal="center" vertical="center" wrapText="1"/>
    </xf>
    <xf numFmtId="0" fontId="20" fillId="15" borderId="0" xfId="0" applyFont="1" applyFill="1" applyAlignment="1">
      <alignment horizontal="center" vertical="center"/>
    </xf>
    <xf numFmtId="0" fontId="19" fillId="12" borderId="2" xfId="3" applyFont="1" applyFill="1" applyAlignment="1">
      <alignment horizontal="center" vertical="center" wrapText="1"/>
    </xf>
    <xf numFmtId="0" fontId="20" fillId="12" borderId="0" xfId="0" applyFont="1" applyFill="1" applyAlignment="1">
      <alignment horizontal="center" vertical="center"/>
    </xf>
    <xf numFmtId="0" fontId="19" fillId="11" borderId="2" xfId="3" applyFont="1" applyFill="1" applyAlignment="1">
      <alignment horizontal="center" vertical="center" wrapText="1"/>
    </xf>
    <xf numFmtId="0" fontId="20" fillId="11" borderId="2" xfId="3" applyFont="1" applyFill="1" applyAlignment="1">
      <alignment horizontal="center" vertical="center" wrapText="1"/>
    </xf>
    <xf numFmtId="0" fontId="19" fillId="16" borderId="2" xfId="3" applyFont="1" applyFill="1" applyAlignment="1">
      <alignment horizontal="center" vertical="center" wrapText="1"/>
    </xf>
    <xf numFmtId="0" fontId="20" fillId="16" borderId="0" xfId="0" applyFont="1" applyFill="1" applyAlignment="1">
      <alignment horizontal="center" vertical="center"/>
    </xf>
    <xf numFmtId="0" fontId="20" fillId="13" borderId="2" xfId="3" applyFont="1" applyFill="1" applyAlignment="1">
      <alignment horizontal="center" vertical="center" wrapText="1"/>
    </xf>
    <xf numFmtId="0" fontId="19" fillId="10" borderId="2" xfId="3" applyFont="1" applyFill="1" applyAlignment="1">
      <alignment horizontal="center" vertical="center" wrapText="1"/>
    </xf>
    <xf numFmtId="0" fontId="0" fillId="2" borderId="0" xfId="0" applyFill="1"/>
    <xf numFmtId="0" fontId="20" fillId="17" borderId="2" xfId="4" applyFont="1" applyFill="1" applyBorder="1" applyAlignment="1">
      <alignment horizontal="center" vertical="top" wrapText="1"/>
    </xf>
    <xf numFmtId="0" fontId="20" fillId="17" borderId="2" xfId="4" applyFont="1" applyFill="1" applyBorder="1" applyAlignment="1">
      <alignment horizontal="center" vertical="center" wrapText="1"/>
    </xf>
    <xf numFmtId="0" fontId="3" fillId="17" borderId="2" xfId="4" applyFont="1" applyFill="1" applyBorder="1" applyAlignment="1">
      <alignment horizontal="center" vertical="top" wrapText="1"/>
    </xf>
    <xf numFmtId="0" fontId="3" fillId="17" borderId="2" xfId="4" applyFont="1" applyFill="1" applyBorder="1" applyAlignment="1">
      <alignment horizontal="center" vertical="center" wrapText="1"/>
    </xf>
    <xf numFmtId="0" fontId="20" fillId="15" borderId="0" xfId="0" applyFont="1" applyFill="1" applyAlignment="1">
      <alignment horizontal="center" vertical="center" wrapText="1"/>
    </xf>
    <xf numFmtId="0" fontId="0" fillId="0" borderId="0" xfId="0" applyAlignment="1">
      <alignment horizontal="left" vertical="center" wrapText="1"/>
    </xf>
    <xf numFmtId="0" fontId="2" fillId="0" borderId="0" xfId="6" applyFont="1" applyAlignment="1">
      <alignment horizontal="left" vertical="top" wrapText="1"/>
    </xf>
    <xf numFmtId="0" fontId="14" fillId="2" borderId="2" xfId="4" applyFill="1" applyBorder="1" applyAlignment="1">
      <alignment horizontal="center" vertical="top" wrapText="1"/>
    </xf>
    <xf numFmtId="0" fontId="22" fillId="2" borderId="2" xfId="4" applyFont="1" applyFill="1" applyBorder="1" applyAlignment="1">
      <alignment horizontal="center" vertical="top" wrapText="1"/>
    </xf>
    <xf numFmtId="0" fontId="13" fillId="2" borderId="2" xfId="3" applyFill="1" applyAlignment="1">
      <alignment horizontal="center" vertical="top" wrapText="1"/>
    </xf>
    <xf numFmtId="0" fontId="23" fillId="2" borderId="2" xfId="11" applyFont="1" applyFill="1" applyBorder="1" applyAlignment="1">
      <alignment horizontal="center" vertical="top" wrapText="1"/>
    </xf>
    <xf numFmtId="0" fontId="16" fillId="2" borderId="2" xfId="3" applyFont="1" applyFill="1" applyAlignment="1">
      <alignment horizontal="center" vertical="top" wrapText="1"/>
    </xf>
    <xf numFmtId="0" fontId="24" fillId="2" borderId="2" xfId="3" applyFont="1" applyFill="1" applyAlignment="1">
      <alignment horizontal="center" vertical="top" wrapText="1"/>
    </xf>
    <xf numFmtId="0" fontId="14" fillId="4" borderId="2" xfId="4" applyBorder="1" applyAlignment="1">
      <alignment horizontal="center"/>
    </xf>
    <xf numFmtId="0" fontId="13" fillId="5" borderId="2" xfId="3" applyFill="1" applyAlignment="1">
      <alignment horizontal="center"/>
    </xf>
    <xf numFmtId="0" fontId="14" fillId="4" borderId="2" xfId="4" applyBorder="1" applyAlignment="1">
      <alignment horizontal="center" vertical="center" wrapText="1"/>
    </xf>
    <xf numFmtId="0" fontId="13" fillId="5" borderId="2" xfId="3" applyFill="1" applyAlignment="1">
      <alignment horizontal="center" vertical="center" wrapText="1"/>
    </xf>
    <xf numFmtId="0" fontId="19" fillId="13" borderId="2" xfId="3" applyFont="1" applyFill="1" applyAlignment="1">
      <alignment horizontal="center" vertical="center" wrapText="1"/>
    </xf>
    <xf numFmtId="0" fontId="1" fillId="0" borderId="0" xfId="6" applyFont="1" applyAlignment="1">
      <alignment vertical="top" wrapText="1"/>
    </xf>
    <xf numFmtId="0" fontId="0" fillId="0" borderId="0" xfId="0" applyAlignment="1">
      <alignment vertical="center"/>
    </xf>
    <xf numFmtId="2" fontId="0" fillId="0" borderId="0" xfId="0" applyNumberFormat="1" applyAlignment="1">
      <alignment horizontal="center" vertical="center"/>
    </xf>
    <xf numFmtId="0" fontId="0" fillId="0" borderId="0" xfId="0" applyAlignment="1">
      <alignment horizontal="center" vertical="center"/>
    </xf>
  </cellXfs>
  <cellStyles count="12">
    <cellStyle name="20% - Accent2" xfId="5" builtinId="34"/>
    <cellStyle name="Bad" xfId="4" builtinId="27"/>
    <cellStyle name="Heading 3" xfId="3" builtinId="18"/>
    <cellStyle name="Hyperlink" xfId="2" builtinId="8"/>
    <cellStyle name="Normal" xfId="0" builtinId="0"/>
    <cellStyle name="Normal 2" xfId="1" xr:uid="{6229DB3D-E93E-EE46-B057-6528745EBCEC}"/>
    <cellStyle name="Normal 2 2" xfId="7" xr:uid="{E51193A0-64AE-4340-8458-A8D600AB3C4E}"/>
    <cellStyle name="Normal 2 3" xfId="8" xr:uid="{F8ABA892-44E8-4F43-A689-3706C0D79992}"/>
    <cellStyle name="Normal 2 4" xfId="9" xr:uid="{22149B9B-BD15-4FF5-819C-9EFC78899C8A}"/>
    <cellStyle name="Normal 2 5" xfId="10" xr:uid="{4BAB84F7-B387-4719-B568-0AB0995E2F92}"/>
    <cellStyle name="Normal 3" xfId="6" xr:uid="{419392F3-4F78-43E2-BBBD-66BD24A14CB4}"/>
    <cellStyle name="Warning Text" xfId="11" builtinId="11"/>
  </cellStyles>
  <dxfs count="3">
    <dxf>
      <fill>
        <patternFill>
          <bgColor theme="5"/>
        </patternFill>
      </fill>
    </dxf>
    <dxf>
      <fill>
        <patternFill>
          <bgColor rgb="FFFF0000"/>
        </patternFill>
      </fill>
    </dxf>
    <dxf>
      <font>
        <color rgb="FF006100"/>
      </font>
      <fill>
        <patternFill>
          <bgColor rgb="FFC6EFCE"/>
        </patternFill>
      </fill>
    </dxf>
  </dxfs>
  <tableStyles count="1" defaultTableStyle="TableStyleMedium2" defaultPivotStyle="PivotStyleLight16">
    <tableStyle name="MySqlDefault" pivot="0" table="0" count="0" xr9:uid="{54393989-386C-46F2-9C96-7F06304C4EA6}"/>
  </tableStyles>
  <colors>
    <mruColors>
      <color rgb="FFCC99FF"/>
      <color rgb="FFCC3399"/>
      <color rgb="FF800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596900</xdr:colOff>
          <xdr:row>25</xdr:row>
          <xdr:rowOff>12700</xdr:rowOff>
        </xdr:from>
        <xdr:to>
          <xdr:col>14</xdr:col>
          <xdr:colOff>603250</xdr:colOff>
          <xdr:row>32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eorgios Miskakis" id="{E93E112B-95BC-4A07-B340-ED04288FB71B}" userId="S::Georgios.Miskakis@evidentscientific.com::44b2163f-3f3f-427f-9606-72ab2f8439a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3" dT="2025-05-05T14:08:22.43" personId="{E93E112B-95BC-4A07-B340-ED04288FB71B}" id="{E4E02149-E0C3-49E7-9188-ABDB64C367ED}">
    <text>We can mark those missing controls that do not exist and there is no need to ask the participants in our assessment</text>
  </threadedComment>
  <threadedComment ref="K3" dT="2025-05-05T14:15:17.60" personId="{E93E112B-95BC-4A07-B340-ED04288FB71B}" id="{94F9B0B9-D218-470E-A865-E399335EA56C}">
    <text>If controls cannot be controlled by the responder these can be left out by the assessment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A3" dT="2023-08-14T11:24:29.53" personId="{E93E112B-95BC-4A07-B340-ED04288FB71B}" id="{6980D451-260D-47C5-8413-B9B293BEF205}">
    <text>Assessment Responses - v2, starting row per question</text>
  </threadedComment>
  <threadedComment ref="M3" dT="2023-08-10T07:41:47.95" personId="{E93E112B-95BC-4A07-B340-ED04288FB71B}" id="{53569947-CB99-4CB9-906A-E6D8770A6CB2}">
    <text xml:space="preserve">2-less than 10
3-more than 10 but less than 100
4-more than 100 but less than 1000
5-more than 1000
</text>
  </threadedComment>
  <threadedComment ref="L4" dT="2025-05-05T12:49:47.58" personId="{E93E112B-95BC-4A07-B340-ED04288FB71B}" id="{AE3C8C76-4BF9-47CD-B9A7-EB087B5D77B3}">
    <text xml:space="preserve">Can be added into the equation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georgios.miskakis@evidentscientific.com" TargetMode="External"/><Relationship Id="rId1" Type="http://schemas.openxmlformats.org/officeDocument/2006/relationships/hyperlink" Target="mailto:georgios.miskakis@evidentscientific.com" TargetMode="External"/><Relationship Id="rId6" Type="http://schemas.openxmlformats.org/officeDocument/2006/relationships/ctrlProp" Target="../ctrlProps/ctrlProp1.xml"/><Relationship Id="rId5" Type="http://schemas.openxmlformats.org/officeDocument/2006/relationships/vmlDrawing" Target="../drawings/vmlDrawing3.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B2DC-69C0-4011-8072-EA788299588F}">
  <sheetPr codeName="Sheet7">
    <tabColor rgb="FF00B050"/>
  </sheetPr>
  <dimension ref="A1:N3"/>
  <sheetViews>
    <sheetView topLeftCell="E1" zoomScale="115" zoomScaleNormal="115" workbookViewId="0">
      <pane ySplit="2" topLeftCell="A3" activePane="bottomLeft" state="frozen"/>
      <selection pane="bottomLeft" activeCell="D3" sqref="D3"/>
    </sheetView>
  </sheetViews>
  <sheetFormatPr defaultColWidth="9.1796875" defaultRowHeight="14.5" x14ac:dyDescent="0.35"/>
  <cols>
    <col min="1" max="1" width="48.1796875" style="15" customWidth="1"/>
    <col min="2" max="2" width="10.54296875" style="16" customWidth="1"/>
    <col min="3" max="8" width="21.7265625" style="15" customWidth="1"/>
    <col min="9" max="11" width="35.26953125" style="15" customWidth="1"/>
    <col min="12" max="12" width="20.453125" style="15" bestFit="1" customWidth="1"/>
    <col min="13" max="16384" width="9.1796875" style="15"/>
  </cols>
  <sheetData>
    <row r="1" spans="1:14" ht="15" customHeight="1" thickBot="1" x14ac:dyDescent="0.4">
      <c r="C1" s="64" t="s">
        <v>111</v>
      </c>
      <c r="D1" s="64"/>
      <c r="E1" s="64"/>
      <c r="F1" s="65" t="s">
        <v>84</v>
      </c>
      <c r="G1" s="65"/>
      <c r="H1" s="65"/>
      <c r="I1" s="66" t="s">
        <v>102</v>
      </c>
      <c r="J1" s="66"/>
      <c r="K1" s="66"/>
      <c r="L1" s="17" t="s">
        <v>85</v>
      </c>
    </row>
    <row r="2" spans="1:14" ht="29.5" thickBot="1" x14ac:dyDescent="0.4">
      <c r="A2" s="18" t="s">
        <v>42</v>
      </c>
      <c r="B2" s="19" t="s">
        <v>86</v>
      </c>
      <c r="C2" s="4" t="s">
        <v>87</v>
      </c>
      <c r="D2" s="4" t="s">
        <v>88</v>
      </c>
      <c r="E2" s="4" t="s">
        <v>89</v>
      </c>
      <c r="F2" s="6" t="s">
        <v>90</v>
      </c>
      <c r="G2" s="6" t="s">
        <v>91</v>
      </c>
      <c r="H2" s="6" t="s">
        <v>92</v>
      </c>
      <c r="I2" s="35" t="s">
        <v>93</v>
      </c>
      <c r="J2" s="35" t="s">
        <v>94</v>
      </c>
      <c r="K2" s="35" t="s">
        <v>95</v>
      </c>
      <c r="L2" s="20" t="s">
        <v>96</v>
      </c>
      <c r="N2" s="15" t="s">
        <v>97</v>
      </c>
    </row>
    <row r="3" spans="1:14" ht="44" thickBot="1" x14ac:dyDescent="0.4">
      <c r="A3" s="55" t="s">
        <v>112</v>
      </c>
      <c r="B3" s="21">
        <f>COUNTIF(C3:K3,"&lt;&gt;")</f>
        <v>9</v>
      </c>
      <c r="C3" s="56" t="s">
        <v>98</v>
      </c>
      <c r="D3" s="56" t="s">
        <v>104</v>
      </c>
      <c r="E3" s="57" t="s">
        <v>103</v>
      </c>
      <c r="F3" s="58" t="s">
        <v>80</v>
      </c>
      <c r="G3" s="58" t="s">
        <v>106</v>
      </c>
      <c r="H3" s="59" t="s">
        <v>107</v>
      </c>
      <c r="I3" s="61" t="s">
        <v>105</v>
      </c>
      <c r="J3" s="61" t="s">
        <v>81</v>
      </c>
      <c r="K3" s="60" t="s">
        <v>101</v>
      </c>
      <c r="L3" s="20" t="s">
        <v>79</v>
      </c>
    </row>
  </sheetData>
  <mergeCells count="3">
    <mergeCell ref="C1:E1"/>
    <mergeCell ref="F1:H1"/>
    <mergeCell ref="I1:K1"/>
  </mergeCells>
  <dataValidations count="1">
    <dataValidation type="list" allowBlank="1" showInputMessage="1" showErrorMessage="1" sqref="L3" xr:uid="{EE005F7E-1CDA-47C5-B730-B6AAC7F9CC28}">
      <formula1>#REF!</formula1>
    </dataValidation>
  </dataValidations>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3"/>
  <sheetViews>
    <sheetView topLeftCell="A12" workbookViewId="0">
      <pane xSplit="1" topLeftCell="B1" activePane="topRight" state="frozen"/>
      <selection pane="topRight" activeCell="D17" sqref="D17"/>
    </sheetView>
  </sheetViews>
  <sheetFormatPr defaultRowHeight="14.5" x14ac:dyDescent="0.35"/>
  <cols>
    <col min="1" max="2" width="40" style="3" bestFit="1" customWidth="1"/>
    <col min="3" max="3" width="8.7265625" style="3" hidden="1" customWidth="1"/>
    <col min="4" max="4" width="40" style="3" bestFit="1" customWidth="1"/>
  </cols>
  <sheetData>
    <row r="1" spans="1:4" hidden="1" x14ac:dyDescent="0.35">
      <c r="C1" s="31" t="s">
        <v>3</v>
      </c>
      <c r="D1" s="31" t="s">
        <v>2</v>
      </c>
    </row>
    <row r="2" spans="1:4" x14ac:dyDescent="0.35">
      <c r="B2" s="31" t="s">
        <v>4</v>
      </c>
      <c r="C2" s="31" t="s">
        <v>5</v>
      </c>
      <c r="D2" s="3" t="s">
        <v>99</v>
      </c>
    </row>
    <row r="3" spans="1:4" x14ac:dyDescent="0.35">
      <c r="B3" s="31" t="s">
        <v>6</v>
      </c>
      <c r="C3" s="31" t="s">
        <v>7</v>
      </c>
    </row>
    <row r="4" spans="1:4" x14ac:dyDescent="0.35">
      <c r="B4" s="31" t="s">
        <v>8</v>
      </c>
      <c r="C4" s="31" t="s">
        <v>9</v>
      </c>
    </row>
    <row r="5" spans="1:4" x14ac:dyDescent="0.35">
      <c r="B5" s="31" t="s">
        <v>10</v>
      </c>
      <c r="C5" s="31" t="s">
        <v>11</v>
      </c>
    </row>
    <row r="8" spans="1:4" x14ac:dyDescent="0.35">
      <c r="A8" s="31" t="s">
        <v>1</v>
      </c>
      <c r="B8" s="31" t="s">
        <v>0</v>
      </c>
      <c r="C8" s="31" t="s">
        <v>3</v>
      </c>
      <c r="D8" s="31" t="s">
        <v>2</v>
      </c>
    </row>
    <row r="9" spans="1:4" x14ac:dyDescent="0.35">
      <c r="A9" s="1" t="s">
        <v>13</v>
      </c>
      <c r="B9" s="1"/>
      <c r="C9" s="31" t="s">
        <v>14</v>
      </c>
      <c r="D9" s="3" t="s">
        <v>99</v>
      </c>
    </row>
    <row r="10" spans="1:4" ht="133" customHeight="1" thickBot="1" x14ac:dyDescent="0.4">
      <c r="A10" s="51" t="s">
        <v>15</v>
      </c>
      <c r="B10" s="1" t="s">
        <v>108</v>
      </c>
      <c r="C10" s="31" t="s">
        <v>16</v>
      </c>
      <c r="D10" s="2" t="s">
        <v>82</v>
      </c>
    </row>
    <row r="11" spans="1:4" ht="111" customHeight="1" thickBot="1" x14ac:dyDescent="0.4">
      <c r="A11" s="52" t="s">
        <v>17</v>
      </c>
      <c r="B11" s="1" t="s">
        <v>109</v>
      </c>
      <c r="C11" s="31" t="s">
        <v>18</v>
      </c>
      <c r="D11" s="2" t="s">
        <v>82</v>
      </c>
    </row>
    <row r="12" spans="1:4" ht="145.5" customHeight="1" thickBot="1" x14ac:dyDescent="0.4">
      <c r="A12" s="51" t="s">
        <v>19</v>
      </c>
      <c r="B12" s="1" t="s">
        <v>20</v>
      </c>
      <c r="C12" s="31" t="s">
        <v>21</v>
      </c>
      <c r="D12" s="2" t="s">
        <v>100</v>
      </c>
    </row>
    <row r="13" spans="1:4" ht="44" thickBot="1" x14ac:dyDescent="0.4">
      <c r="A13" s="30" t="s">
        <v>23</v>
      </c>
      <c r="B13" s="1" t="s">
        <v>24</v>
      </c>
      <c r="C13" s="31" t="s">
        <v>25</v>
      </c>
      <c r="D13" s="2" t="s">
        <v>83</v>
      </c>
    </row>
    <row r="14" spans="1:4" ht="29" x14ac:dyDescent="0.35">
      <c r="A14" s="53" t="s">
        <v>26</v>
      </c>
      <c r="B14" s="1" t="s">
        <v>121</v>
      </c>
      <c r="C14" s="31" t="s">
        <v>27</v>
      </c>
      <c r="D14" s="3" t="s">
        <v>22</v>
      </c>
    </row>
    <row r="15" spans="1:4" ht="29" x14ac:dyDescent="0.35">
      <c r="A15" s="53" t="s">
        <v>26</v>
      </c>
      <c r="B15" s="1" t="s">
        <v>120</v>
      </c>
      <c r="C15" s="31"/>
      <c r="D15" s="3" t="s">
        <v>22</v>
      </c>
    </row>
    <row r="16" spans="1:4" ht="44" thickBot="1" x14ac:dyDescent="0.4">
      <c r="A16" s="46" t="s">
        <v>28</v>
      </c>
      <c r="B16" s="1" t="s">
        <v>113</v>
      </c>
      <c r="C16" s="31" t="s">
        <v>29</v>
      </c>
      <c r="D16" s="3" t="s">
        <v>114</v>
      </c>
    </row>
    <row r="17" spans="1:4" ht="29.5" thickBot="1" x14ac:dyDescent="0.4">
      <c r="A17" s="46" t="s">
        <v>28</v>
      </c>
      <c r="B17" s="1" t="s">
        <v>117</v>
      </c>
      <c r="C17" s="31"/>
      <c r="D17" s="3" t="s">
        <v>22</v>
      </c>
    </row>
    <row r="18" spans="1:4" ht="29.5" thickBot="1" x14ac:dyDescent="0.4">
      <c r="A18" s="43" t="s">
        <v>30</v>
      </c>
      <c r="B18" s="1" t="s">
        <v>116</v>
      </c>
      <c r="C18" s="31" t="s">
        <v>31</v>
      </c>
      <c r="D18" s="2" t="s">
        <v>22</v>
      </c>
    </row>
    <row r="19" spans="1:4" ht="29.5" thickBot="1" x14ac:dyDescent="0.4">
      <c r="A19" s="43" t="s">
        <v>30</v>
      </c>
      <c r="B19" s="1" t="s">
        <v>115</v>
      </c>
      <c r="C19"/>
      <c r="D19" s="3" t="s">
        <v>114</v>
      </c>
    </row>
    <row r="20" spans="1:4" x14ac:dyDescent="0.35">
      <c r="A20"/>
      <c r="B20"/>
      <c r="C20"/>
      <c r="D20"/>
    </row>
    <row r="21" spans="1:4" x14ac:dyDescent="0.35">
      <c r="A21"/>
      <c r="B21"/>
      <c r="C21"/>
      <c r="D21"/>
    </row>
    <row r="22" spans="1:4" x14ac:dyDescent="0.35">
      <c r="A22"/>
      <c r="B22"/>
      <c r="C22"/>
      <c r="D22"/>
    </row>
    <row r="23" spans="1:4" x14ac:dyDescent="0.35">
      <c r="A23"/>
      <c r="B23"/>
      <c r="C23"/>
      <c r="D23"/>
    </row>
    <row r="24" spans="1:4" x14ac:dyDescent="0.35">
      <c r="A24"/>
      <c r="B24"/>
      <c r="C24"/>
      <c r="D24"/>
    </row>
    <row r="25" spans="1:4" x14ac:dyDescent="0.35">
      <c r="A25"/>
      <c r="B25"/>
      <c r="C25"/>
      <c r="D25"/>
    </row>
    <row r="26" spans="1:4" x14ac:dyDescent="0.35">
      <c r="A26"/>
      <c r="B26"/>
      <c r="C26"/>
      <c r="D26"/>
    </row>
    <row r="27" spans="1:4" x14ac:dyDescent="0.35">
      <c r="A27"/>
      <c r="B27"/>
      <c r="C27"/>
      <c r="D27"/>
    </row>
    <row r="28" spans="1:4" x14ac:dyDescent="0.35">
      <c r="A28"/>
      <c r="B28"/>
      <c r="C28"/>
      <c r="D28"/>
    </row>
    <row r="29" spans="1:4" x14ac:dyDescent="0.35">
      <c r="A29"/>
      <c r="B29"/>
      <c r="C29"/>
      <c r="D29"/>
    </row>
    <row r="30" spans="1:4" x14ac:dyDescent="0.35">
      <c r="A30"/>
      <c r="B30"/>
      <c r="C30"/>
      <c r="D30"/>
    </row>
    <row r="31" spans="1:4" x14ac:dyDescent="0.35">
      <c r="A31"/>
      <c r="B31"/>
      <c r="C31"/>
      <c r="D31"/>
    </row>
    <row r="32" spans="1:4" x14ac:dyDescent="0.35">
      <c r="A32"/>
      <c r="B32"/>
      <c r="C32"/>
      <c r="D32"/>
    </row>
    <row r="33" customFormat="1" x14ac:dyDescent="0.35"/>
  </sheetData>
  <dataValidations count="3">
    <dataValidation type="list" allowBlank="1" showErrorMessage="1" sqref="D13" xr:uid="{EC8304D6-7F93-4969-A081-134D9EBF23C2}">
      <formula1>_E</formula1>
    </dataValidation>
    <dataValidation type="list" allowBlank="1" showErrorMessage="1" sqref="D21" xr:uid="{754061F0-B8EB-4F71-B8A7-BC4B27EA8C4D}">
      <formula1>_S</formula1>
    </dataValidation>
    <dataValidation type="list" allowBlank="1" showErrorMessage="1" sqref="D20" xr:uid="{11AEAC5C-3767-47B0-9891-DE8330994E01}">
      <formula1>_R</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5A4C8-B807-4C9B-B6C9-17EC439C6A33}">
  <sheetPr codeName="Sheet11">
    <tabColor rgb="FFFF0000"/>
  </sheetPr>
  <dimension ref="A1:R36"/>
  <sheetViews>
    <sheetView tabSelected="1" topLeftCell="A3" zoomScaleNormal="100" workbookViewId="0">
      <selection activeCell="K6" sqref="K6"/>
    </sheetView>
  </sheetViews>
  <sheetFormatPr defaultRowHeight="14.5" x14ac:dyDescent="0.35"/>
  <cols>
    <col min="2" max="2" width="15.1796875" customWidth="1"/>
    <col min="3" max="4" width="14.54296875" customWidth="1"/>
    <col min="5" max="5" width="12.81640625" customWidth="1"/>
    <col min="6" max="7" width="11.453125" customWidth="1"/>
    <col min="8" max="8" width="12.54296875" customWidth="1"/>
    <col min="9" max="9" width="15.1796875" customWidth="1"/>
    <col min="10" max="10" width="12.1796875" customWidth="1"/>
    <col min="11" max="11" width="12.81640625" customWidth="1"/>
    <col min="12" max="12" width="23.90625" customWidth="1"/>
    <col min="13" max="13" width="33.453125" customWidth="1"/>
    <col min="14" max="14" width="17.453125" customWidth="1"/>
    <col min="15" max="15" width="17.1796875" customWidth="1"/>
    <col min="16" max="16" width="17.453125" customWidth="1"/>
    <col min="17" max="17" width="22.26953125" customWidth="1"/>
    <col min="18" max="18" width="101.1796875" bestFit="1" customWidth="1"/>
  </cols>
  <sheetData>
    <row r="1" spans="1:18" ht="15" thickBot="1" x14ac:dyDescent="0.4">
      <c r="E1" s="62" t="s">
        <v>32</v>
      </c>
      <c r="F1" s="62"/>
      <c r="G1" s="62"/>
      <c r="H1" s="63" t="s">
        <v>33</v>
      </c>
      <c r="I1" s="63"/>
      <c r="J1" s="63"/>
      <c r="K1" s="63"/>
      <c r="L1" s="28" t="s">
        <v>34</v>
      </c>
      <c r="M1" s="32" t="s">
        <v>35</v>
      </c>
      <c r="R1" s="26"/>
    </row>
    <row r="2" spans="1:18" ht="44" thickBot="1" x14ac:dyDescent="0.4">
      <c r="E2" s="4" t="s">
        <v>36</v>
      </c>
      <c r="F2" s="5">
        <v>0.2</v>
      </c>
      <c r="G2" s="5">
        <v>0.8</v>
      </c>
      <c r="H2" s="6" t="s">
        <v>37</v>
      </c>
      <c r="I2" s="7">
        <v>0.05</v>
      </c>
      <c r="J2" s="8"/>
      <c r="K2" s="7">
        <v>0.9</v>
      </c>
      <c r="L2" s="8"/>
      <c r="M2" s="29">
        <v>0.05</v>
      </c>
      <c r="P2" s="12" t="s">
        <v>38</v>
      </c>
      <c r="Q2" s="12" t="s">
        <v>39</v>
      </c>
    </row>
    <row r="3" spans="1:18" ht="44" thickBot="1" x14ac:dyDescent="0.4">
      <c r="A3" t="s">
        <v>40</v>
      </c>
      <c r="B3" s="9" t="s">
        <v>41</v>
      </c>
      <c r="C3" s="9" t="s">
        <v>42</v>
      </c>
      <c r="D3" s="9" t="s">
        <v>43</v>
      </c>
      <c r="E3" s="36" t="s">
        <v>44</v>
      </c>
      <c r="F3" s="38" t="s">
        <v>45</v>
      </c>
      <c r="G3" s="49" t="s">
        <v>46</v>
      </c>
      <c r="H3" s="40" t="s">
        <v>47</v>
      </c>
      <c r="I3" s="42" t="s">
        <v>48</v>
      </c>
      <c r="J3" s="44" t="s">
        <v>49</v>
      </c>
      <c r="K3" s="34" t="s">
        <v>50</v>
      </c>
      <c r="L3" s="33" t="s">
        <v>51</v>
      </c>
      <c r="M3" s="30" t="s">
        <v>52</v>
      </c>
      <c r="N3" s="4" t="s">
        <v>53</v>
      </c>
      <c r="O3" s="10" t="s">
        <v>54</v>
      </c>
      <c r="P3" s="13">
        <f ca="1" xml:space="preserve"> AVERAGEIF(P4:P7,"&lt;&gt;0")</f>
        <v>5.4</v>
      </c>
    </row>
    <row r="4" spans="1:18" ht="175.5" customHeight="1" thickBot="1" x14ac:dyDescent="0.4">
      <c r="A4" s="48">
        <v>15</v>
      </c>
      <c r="B4" s="27" t="s">
        <v>22</v>
      </c>
      <c r="C4" s="54" t="str">
        <f>'1.Scenario Controls'!A3</f>
        <v>A phishing attack is targeting our company in order to get access into our enviroment. Which controls are able to use inside your area of responsibility?</v>
      </c>
      <c r="D4" s="68">
        <f xml:space="preserve"> IF(B4="No","Error",'1.Scenario Controls'!B3)</f>
        <v>9</v>
      </c>
      <c r="E4" s="37">
        <f>COUNTIF('1.Scenario Controls'!C3:E3,"&lt;&gt;")</f>
        <v>3</v>
      </c>
      <c r="F4" s="39">
        <v>3</v>
      </c>
      <c r="G4" s="50">
        <f>ROUND(SUM('2.Assessment Responses'!$D$10*0.4,'2.Assessment Responses'!$D$11*0.4,'2.Assessment Responses'!$D$12*0.2),0)</f>
        <v>3</v>
      </c>
      <c r="H4" s="41">
        <f>COUNTIF('1.Scenario Controls'!F3:H3,"&lt;&gt;")</f>
        <v>3</v>
      </c>
      <c r="I4" s="43" cm="1">
        <f t="array" aca="1" ref="I4" ca="1">IF(INDIRECT("'2.Assessment Responses'!D"&amp;A4+2)="Not in place",0,LEN(INDIRECT("'2.Assessment Responses'!D"&amp;A4+2))-LEN(SUBSTITUTE(INDIRECT("'2.Assessment Responses'!D"&amp;A4+2),",",""))+1)</f>
        <v>1</v>
      </c>
      <c r="J4" s="45">
        <f>COUNTIF('1.Scenario Controls'!I3:K3,"&lt;&gt;")</f>
        <v>3</v>
      </c>
      <c r="K4" s="46">
        <v>1</v>
      </c>
      <c r="L4" s="33" t="s">
        <v>110</v>
      </c>
      <c r="M4" s="47">
        <f t="shared" ref="M4" si="0">IF($M$1="less than 10",2,IF($M$1="more than 10 but less than 100",3,IF($M$1="more than 100 but less than 1000",4,IF($M$1="more than 1000",5,-100))))</f>
        <v>4</v>
      </c>
      <c r="N4" s="69">
        <f t="shared" ref="N4" si="1">ROUNDUP(SUM(IF(F4=0,E4*$F$2,((E4-F4)/E4)*$F$2) + G4*$G$2), 1)</f>
        <v>2.4</v>
      </c>
      <c r="O4" s="70">
        <f t="shared" ref="O4" ca="1" si="2">ROUNDUP(SUM(IF(I4=0,H4*$I$2,((H4-I4))*$I$2),IF(K4=0,J4*$K$2,((J4-K4))*$K$2),M4*$M$2),0)</f>
        <v>3</v>
      </c>
      <c r="P4" s="69">
        <f ca="1">IF(B4="No",0, ROUNDUP(SUM(N4,O4),2))</f>
        <v>5.4</v>
      </c>
      <c r="Q4" s="70" t="str">
        <f>'1.Scenario Controls'!L3</f>
        <v>Core Business Operations</v>
      </c>
    </row>
    <row r="5" spans="1:18" ht="275.5" x14ac:dyDescent="0.35">
      <c r="A5" s="23"/>
      <c r="B5" s="23"/>
      <c r="C5" s="23"/>
      <c r="D5" s="23"/>
      <c r="E5" s="23"/>
      <c r="F5" s="67" t="s">
        <v>119</v>
      </c>
      <c r="G5" s="23"/>
      <c r="H5" s="23"/>
      <c r="I5" s="67" t="s">
        <v>118</v>
      </c>
      <c r="J5" s="23"/>
      <c r="K5" s="67" t="s">
        <v>122</v>
      </c>
      <c r="L5" s="23"/>
      <c r="M5" s="23"/>
      <c r="N5" s="23"/>
      <c r="Q5" s="23"/>
      <c r="R5" s="23"/>
    </row>
    <row r="6" spans="1:18" x14ac:dyDescent="0.35">
      <c r="A6" s="23"/>
      <c r="B6" s="23"/>
      <c r="C6" s="23"/>
      <c r="D6" s="23"/>
      <c r="E6" s="23"/>
      <c r="F6" s="23"/>
      <c r="G6" s="23"/>
      <c r="H6" s="23"/>
      <c r="I6" s="23"/>
      <c r="J6" s="23"/>
      <c r="K6" s="23"/>
      <c r="L6" s="23"/>
      <c r="M6" s="23"/>
      <c r="N6" s="23"/>
      <c r="Q6" s="23"/>
      <c r="R6" s="23"/>
    </row>
    <row r="7" spans="1:18" ht="80.150000000000006" customHeight="1" x14ac:dyDescent="0.35">
      <c r="A7" s="23"/>
      <c r="B7" s="23"/>
      <c r="C7" s="23"/>
      <c r="D7" s="23"/>
      <c r="E7" s="23"/>
      <c r="F7" s="23"/>
      <c r="G7" s="23"/>
      <c r="H7" s="23"/>
      <c r="I7" s="23"/>
      <c r="J7" s="23"/>
      <c r="K7" s="23"/>
      <c r="L7" s="23"/>
      <c r="M7" s="23"/>
      <c r="N7" s="23"/>
      <c r="Q7" s="23"/>
      <c r="R7" s="23"/>
    </row>
    <row r="8" spans="1:18" x14ac:dyDescent="0.35">
      <c r="A8" s="23"/>
      <c r="B8" s="23"/>
      <c r="C8" s="23"/>
      <c r="D8" s="23"/>
      <c r="E8" s="23"/>
      <c r="F8" s="23"/>
      <c r="G8" s="23"/>
      <c r="H8" s="23"/>
      <c r="I8" s="23"/>
      <c r="J8" s="23"/>
      <c r="K8" s="23"/>
      <c r="L8" s="23"/>
      <c r="M8" s="23"/>
      <c r="N8" s="23"/>
      <c r="Q8" s="23"/>
      <c r="R8" s="23"/>
    </row>
    <row r="9" spans="1:18" x14ac:dyDescent="0.35">
      <c r="A9" s="23"/>
      <c r="B9" s="23"/>
      <c r="C9" s="23"/>
      <c r="D9" s="23"/>
      <c r="E9" s="23"/>
      <c r="F9" s="23"/>
      <c r="G9" s="23"/>
      <c r="H9" s="23"/>
      <c r="I9" s="23"/>
      <c r="J9" s="23"/>
      <c r="K9" s="23"/>
      <c r="L9" s="23"/>
      <c r="M9" s="23"/>
      <c r="N9" s="23"/>
      <c r="O9" s="23"/>
      <c r="P9" s="23"/>
      <c r="Q9" s="23"/>
      <c r="R9" s="23"/>
    </row>
    <row r="10" spans="1:18" x14ac:dyDescent="0.35">
      <c r="G10" s="11"/>
    </row>
    <row r="11" spans="1:18" x14ac:dyDescent="0.35">
      <c r="G11" s="11"/>
    </row>
    <row r="12" spans="1:18" x14ac:dyDescent="0.35">
      <c r="G12" s="11"/>
    </row>
    <row r="13" spans="1:18" x14ac:dyDescent="0.35">
      <c r="G13" s="11"/>
    </row>
    <row r="14" spans="1:18" x14ac:dyDescent="0.35">
      <c r="G14" s="11"/>
    </row>
    <row r="15" spans="1:18" x14ac:dyDescent="0.35">
      <c r="G15" s="11"/>
    </row>
    <row r="16" spans="1:18" x14ac:dyDescent="0.35">
      <c r="G16" s="11"/>
    </row>
    <row r="17" spans="7:7" x14ac:dyDescent="0.35">
      <c r="G17" s="11"/>
    </row>
    <row r="18" spans="7:7" x14ac:dyDescent="0.35">
      <c r="G18" s="11"/>
    </row>
    <row r="19" spans="7:7" x14ac:dyDescent="0.35">
      <c r="G19" s="11"/>
    </row>
    <row r="20" spans="7:7" x14ac:dyDescent="0.35">
      <c r="G20" s="11"/>
    </row>
    <row r="21" spans="7:7" x14ac:dyDescent="0.35">
      <c r="G21" s="11"/>
    </row>
    <row r="22" spans="7:7" x14ac:dyDescent="0.35">
      <c r="G22" s="11"/>
    </row>
    <row r="23" spans="7:7" x14ac:dyDescent="0.35">
      <c r="G23" s="11"/>
    </row>
    <row r="24" spans="7:7" x14ac:dyDescent="0.35">
      <c r="G24" s="11"/>
    </row>
    <row r="25" spans="7:7" x14ac:dyDescent="0.35">
      <c r="G25" s="11"/>
    </row>
    <row r="26" spans="7:7" x14ac:dyDescent="0.35">
      <c r="G26" s="11"/>
    </row>
    <row r="27" spans="7:7" x14ac:dyDescent="0.35">
      <c r="G27" s="11"/>
    </row>
    <row r="28" spans="7:7" x14ac:dyDescent="0.35">
      <c r="G28" s="11"/>
    </row>
    <row r="29" spans="7:7" x14ac:dyDescent="0.35">
      <c r="G29" s="11"/>
    </row>
    <row r="30" spans="7:7" x14ac:dyDescent="0.35">
      <c r="G30" s="11"/>
    </row>
    <row r="31" spans="7:7" x14ac:dyDescent="0.35">
      <c r="G31" s="11"/>
    </row>
    <row r="32" spans="7:7" x14ac:dyDescent="0.35">
      <c r="G32" s="11"/>
    </row>
    <row r="33" spans="7:7" x14ac:dyDescent="0.35">
      <c r="G33" s="11"/>
    </row>
    <row r="34" spans="7:7" x14ac:dyDescent="0.35">
      <c r="G34" s="11"/>
    </row>
    <row r="35" spans="7:7" x14ac:dyDescent="0.35">
      <c r="G35" s="11"/>
    </row>
    <row r="36" spans="7:7" x14ac:dyDescent="0.35">
      <c r="G36" s="11"/>
    </row>
  </sheetData>
  <mergeCells count="2">
    <mergeCell ref="E1:G1"/>
    <mergeCell ref="H1:K1"/>
  </mergeCells>
  <conditionalFormatting sqref="P3:P4">
    <cfRule type="cellIs" dxfId="2" priority="1" operator="lessThan">
      <formula>5</formula>
    </cfRule>
  </conditionalFormatting>
  <conditionalFormatting sqref="P4">
    <cfRule type="cellIs" dxfId="1" priority="2" operator="greaterThan">
      <formula>7</formula>
    </cfRule>
    <cfRule type="cellIs" dxfId="0" priority="3" operator="between">
      <formula>5</formula>
      <formula>7</formula>
    </cfRule>
  </conditionalFormatting>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D871-7D37-470C-B13A-1153B03CCD1C}">
  <sheetPr codeName="Sheet5"/>
  <dimension ref="A1:W17"/>
  <sheetViews>
    <sheetView workbookViewId="0">
      <selection activeCell="I8" sqref="I8"/>
    </sheetView>
  </sheetViews>
  <sheetFormatPr defaultRowHeight="14.5" x14ac:dyDescent="0.35"/>
  <cols>
    <col min="1" max="1" width="38.26953125" customWidth="1"/>
    <col min="2" max="2" width="17.453125" customWidth="1"/>
    <col min="9" max="9" width="17.453125" customWidth="1"/>
    <col min="12" max="12" width="13.81640625" customWidth="1"/>
    <col min="18" max="18" width="14.453125" customWidth="1"/>
    <col min="22" max="22" width="12" customWidth="1"/>
  </cols>
  <sheetData>
    <row r="1" spans="1:23" ht="43.5" x14ac:dyDescent="0.35">
      <c r="A1" s="14" t="s">
        <v>55</v>
      </c>
      <c r="B1" s="14" t="s">
        <v>56</v>
      </c>
      <c r="C1" s="14" t="s">
        <v>57</v>
      </c>
      <c r="D1" s="14" t="s">
        <v>0</v>
      </c>
      <c r="E1" s="14" t="s">
        <v>58</v>
      </c>
      <c r="F1" s="14" t="s">
        <v>59</v>
      </c>
      <c r="G1" s="14" t="s">
        <v>60</v>
      </c>
      <c r="H1" s="14" t="s">
        <v>61</v>
      </c>
      <c r="I1" s="14" t="s">
        <v>62</v>
      </c>
      <c r="J1" s="14" t="s">
        <v>63</v>
      </c>
      <c r="K1" s="14" t="s">
        <v>64</v>
      </c>
      <c r="L1" s="14" t="s">
        <v>65</v>
      </c>
      <c r="M1" s="14" t="s">
        <v>66</v>
      </c>
      <c r="N1" s="14" t="s">
        <v>67</v>
      </c>
      <c r="O1" s="14" t="s">
        <v>68</v>
      </c>
      <c r="P1" s="14" t="s">
        <v>69</v>
      </c>
      <c r="Q1" s="14" t="s">
        <v>70</v>
      </c>
      <c r="R1" s="14" t="s">
        <v>71</v>
      </c>
      <c r="S1" s="14" t="s">
        <v>72</v>
      </c>
      <c r="T1" s="14" t="s">
        <v>73</v>
      </c>
      <c r="U1" s="14" t="s">
        <v>74</v>
      </c>
      <c r="V1" s="14" t="s">
        <v>75</v>
      </c>
      <c r="W1" s="14" t="s">
        <v>76</v>
      </c>
    </row>
    <row r="2" spans="1:23" ht="59.15" customHeight="1" x14ac:dyDescent="0.35">
      <c r="A2" t="e">
        <f>INDEX(#REF!,MATCH('2.Assessment Responses'!$D$2,#REF!,0),1)</f>
        <v>#REF!</v>
      </c>
      <c r="B2" t="s">
        <v>77</v>
      </c>
      <c r="C2" s="22" t="e">
        <f>'3.Risk Calc'!#REF!</f>
        <v>#REF!</v>
      </c>
      <c r="D2" s="22" t="e">
        <f t="shared" ref="D2:D7" si="0">C2</f>
        <v>#REF!</v>
      </c>
      <c r="E2" t="s">
        <v>12</v>
      </c>
      <c r="F2" t="e">
        <f>'3.Risk Calc'!#REF!</f>
        <v>#REF!</v>
      </c>
      <c r="I2" s="22" t="e">
        <f>_xlfn.TEXTJOIN(" ,",TRUE,'1.Scenario Controls'!#REF!)</f>
        <v>#REF!</v>
      </c>
      <c r="L2" s="24" t="e">
        <f>INDEX(#REF!,MATCH('2.Assessment Responses'!$D$2,#REF!,0),7)</f>
        <v>#REF!</v>
      </c>
      <c r="S2" t="s">
        <v>78</v>
      </c>
      <c r="V2" t="e">
        <f>IF('3.Risk Calc'!#REF!="No","Zero", IF('3.Risk Calc'!#REF!&lt;=1,"Rare",IF(AND('3.Risk Calc'!#REF!&gt;1,'3.Risk Calc'!#REF!&lt;=2),"Unlikely",IF(AND('3.Risk Calc'!#REF!&gt;2,'3.Risk Calc'!#REF!&lt;=3),"Possible",IF(AND('3.Risk Calc'!#REF!&gt;3,'3.Risk Calc'!#REF!&lt;=4),"Likely",IF('3.Risk Calc'!#REF!&gt;=4.1,"Almost Certain",0))))))</f>
        <v>#REF!</v>
      </c>
      <c r="W2" t="e">
        <f>IF('3.Risk Calc'!#REF!="No","Zero",IF('3.Risk Calc'!#REF!&lt;=1,"No Impact",IF(AND('3.Risk Calc'!#REF!&gt;1,'3.Risk Calc'!#REF!&lt;=2),"Minor",IF(AND('3.Risk Calc'!#REF!&gt;2,'3.Risk Calc'!#REF!&lt;=3),"Medium",IF(AND('3.Risk Calc'!#REF!&gt;3,'3.Risk Calc'!#REF!&lt;=4),"Major",IF('3.Risk Calc'!#REF!&gt;=4.1,"Sever",0))))))</f>
        <v>#REF!</v>
      </c>
    </row>
    <row r="3" spans="1:23" ht="43.5" customHeight="1" x14ac:dyDescent="0.35">
      <c r="A3" t="e">
        <f>INDEX(#REF!,MATCH('2.Assessment Responses'!$D$2,#REF!,0),1)</f>
        <v>#REF!</v>
      </c>
      <c r="B3" t="s">
        <v>77</v>
      </c>
      <c r="C3" s="22" t="e">
        <f>'3.Risk Calc'!#REF!</f>
        <v>#REF!</v>
      </c>
      <c r="D3" s="22" t="e">
        <f t="shared" si="0"/>
        <v>#REF!</v>
      </c>
      <c r="E3" t="s">
        <v>12</v>
      </c>
      <c r="F3" t="e">
        <f>'3.Risk Calc'!#REF!</f>
        <v>#REF!</v>
      </c>
      <c r="I3" s="22" t="e">
        <f>_xlfn.TEXTJOIN(" ,",TRUE,'1.Scenario Controls'!#REF!)</f>
        <v>#REF!</v>
      </c>
      <c r="L3" s="24" t="e">
        <f>INDEX(#REF!,MATCH('2.Assessment Responses'!$D$2,#REF!,0),7)</f>
        <v>#REF!</v>
      </c>
      <c r="S3" t="s">
        <v>78</v>
      </c>
      <c r="V3" t="e">
        <f>IF('3.Risk Calc'!#REF!="No","Zero", IF('3.Risk Calc'!#REF!&lt;=1,"Rare",IF(AND('3.Risk Calc'!#REF!&gt;1,'3.Risk Calc'!#REF!&lt;=2),"Unlikely",IF(AND('3.Risk Calc'!#REF!&gt;2,'3.Risk Calc'!#REF!&lt;=3),"Possible",IF(AND('3.Risk Calc'!#REF!&gt;3,'3.Risk Calc'!#REF!&lt;=4),"Likely",IF('3.Risk Calc'!#REF!&gt;=4.1,"Almost Certain",0))))))</f>
        <v>#REF!</v>
      </c>
      <c r="W3" t="e">
        <f>IF('3.Risk Calc'!#REF!="No","Zero",IF('3.Risk Calc'!#REF!&lt;=1,"No Impact",IF(AND('3.Risk Calc'!#REF!&gt;1,'3.Risk Calc'!#REF!&lt;=2),"Minor",IF(AND('3.Risk Calc'!#REF!&gt;2,'3.Risk Calc'!#REF!&lt;=3),"Medium",IF(AND('3.Risk Calc'!#REF!&gt;3,'3.Risk Calc'!#REF!&lt;=4),"Major",IF('3.Risk Calc'!#REF!&gt;=4.1,"Sever",0))))))</f>
        <v>#REF!</v>
      </c>
    </row>
    <row r="4" spans="1:23" ht="42" customHeight="1" x14ac:dyDescent="0.35">
      <c r="A4" t="e">
        <f>INDEX(#REF!,MATCH('2.Assessment Responses'!$D$2,#REF!,0),1)</f>
        <v>#REF!</v>
      </c>
      <c r="B4" t="s">
        <v>77</v>
      </c>
      <c r="C4" s="22" t="str">
        <f>'3.Risk Calc'!C4</f>
        <v>A phishing attack is targeting our company in order to get access into our enviroment. Which controls are able to use inside your area of responsibility?</v>
      </c>
      <c r="D4" s="22" t="str">
        <f t="shared" si="0"/>
        <v>A phishing attack is targeting our company in order to get access into our enviroment. Which controls are able to use inside your area of responsibility?</v>
      </c>
      <c r="E4" t="s">
        <v>12</v>
      </c>
      <c r="F4" t="str">
        <f>'3.Risk Calc'!Q4</f>
        <v>Core Business Operations</v>
      </c>
      <c r="I4" s="22" t="str">
        <f>_xlfn.TEXTJOIN(" ,",TRUE,'1.Scenario Controls'!C3:K3)</f>
        <v>Security Incident Management / SOC ,Endpoint Protection &amp; Threat Detection ,MFA is enabled ,Information security awareness, education and training ,Access control Policy ,Response Plan ,Simulated Phishing Exercises ,Secure authentication ,SPF, DKIM and DMARC are enabled and configured</v>
      </c>
      <c r="L4" s="24" t="e">
        <f>INDEX(#REF!,MATCH('2.Assessment Responses'!$D$2,#REF!,0),7)</f>
        <v>#REF!</v>
      </c>
      <c r="S4" t="s">
        <v>78</v>
      </c>
      <c r="V4" t="str">
        <f>IF('3.Risk Calc'!B4="No","Zero", IF('3.Risk Calc'!N4&lt;=1,"Rare",IF(AND('3.Risk Calc'!N4&gt;1,'3.Risk Calc'!N4&lt;=2),"Unlikely",IF(AND('3.Risk Calc'!N4&gt;2,'3.Risk Calc'!N4&lt;=3),"Possible",IF(AND('3.Risk Calc'!N4&gt;3,'3.Risk Calc'!N4&lt;=4),"Likely",IF('3.Risk Calc'!N4&gt;=4.1,"Almost Certain",0))))))</f>
        <v>Possible</v>
      </c>
      <c r="W4" t="str">
        <f ca="1">IF('3.Risk Calc'!B4="No","Zero",IF('3.Risk Calc'!O4&lt;=1,"No Impact",IF(AND('3.Risk Calc'!O4&gt;1,'3.Risk Calc'!O4&lt;=2),"Minor",IF(AND('3.Risk Calc'!O4&gt;2,'3.Risk Calc'!O4&lt;=3),"Medium",IF(AND('3.Risk Calc'!O4&gt;3,'3.Risk Calc'!O4&lt;=4),"Major",IF('3.Risk Calc'!O4&gt;=4.1,"Sever",0))))))</f>
        <v>Medium</v>
      </c>
    </row>
    <row r="5" spans="1:23" ht="48" customHeight="1" x14ac:dyDescent="0.35">
      <c r="A5" t="e">
        <f>INDEX(#REF!,MATCH('2.Assessment Responses'!$D$2,#REF!,0),1)</f>
        <v>#REF!</v>
      </c>
      <c r="B5" t="s">
        <v>77</v>
      </c>
      <c r="C5" s="22">
        <f>'3.Risk Calc'!C5</f>
        <v>0</v>
      </c>
      <c r="D5" s="22">
        <f t="shared" si="0"/>
        <v>0</v>
      </c>
      <c r="E5" t="s">
        <v>12</v>
      </c>
      <c r="F5">
        <f>'3.Risk Calc'!Q5</f>
        <v>0</v>
      </c>
      <c r="I5" s="22" t="e">
        <f>_xlfn.TEXTJOIN(" ,",TRUE,'1.Scenario Controls'!#REF!)</f>
        <v>#REF!</v>
      </c>
      <c r="L5" s="24" t="e">
        <f>INDEX(#REF!,MATCH('2.Assessment Responses'!$D$2,#REF!,0),7)</f>
        <v>#REF!</v>
      </c>
      <c r="S5" t="s">
        <v>78</v>
      </c>
      <c r="V5" t="str">
        <f>IF('3.Risk Calc'!B5="No","Zero", IF('3.Risk Calc'!N5&lt;=1,"Rare",IF(AND('3.Risk Calc'!N5&gt;1,'3.Risk Calc'!N5&lt;=2),"Unlikely",IF(AND('3.Risk Calc'!N5&gt;2,'3.Risk Calc'!N5&lt;=3),"Possible",IF(AND('3.Risk Calc'!N5&gt;3,'3.Risk Calc'!N5&lt;=4),"Likely",IF('3.Risk Calc'!N5&gt;=4.1,"Almost Certain",0))))))</f>
        <v>Rare</v>
      </c>
      <c r="W5" t="str">
        <f>IF('3.Risk Calc'!B5="No","Zero",IF('3.Risk Calc'!O5&lt;=1,"No Impact",IF(AND('3.Risk Calc'!O5&gt;1,'3.Risk Calc'!O5&lt;=2),"Minor",IF(AND('3.Risk Calc'!O5&gt;2,'3.Risk Calc'!O5&lt;=3),"Medium",IF(AND('3.Risk Calc'!O5&gt;3,'3.Risk Calc'!O5&lt;=4),"Major",IF('3.Risk Calc'!O5&gt;=4.1,"Sever",0))))))</f>
        <v>No Impact</v>
      </c>
    </row>
    <row r="6" spans="1:23" ht="50.5" customHeight="1" x14ac:dyDescent="0.35">
      <c r="A6" t="e">
        <f>INDEX(#REF!,MATCH('2.Assessment Responses'!$D$2,#REF!,0),1)</f>
        <v>#REF!</v>
      </c>
      <c r="B6" t="s">
        <v>77</v>
      </c>
      <c r="C6" s="22">
        <f>'3.Risk Calc'!C6</f>
        <v>0</v>
      </c>
      <c r="D6" s="22">
        <f t="shared" si="0"/>
        <v>0</v>
      </c>
      <c r="E6" t="s">
        <v>12</v>
      </c>
      <c r="F6">
        <f>'3.Risk Calc'!Q6</f>
        <v>0</v>
      </c>
      <c r="I6" s="22" t="e">
        <f>_xlfn.TEXTJOIN(" ,",TRUE,'1.Scenario Controls'!#REF!)</f>
        <v>#REF!</v>
      </c>
      <c r="L6" s="24" t="e">
        <f>INDEX(#REF!,MATCH('2.Assessment Responses'!$D$2,#REF!,0),7)</f>
        <v>#REF!</v>
      </c>
      <c r="S6" t="s">
        <v>78</v>
      </c>
      <c r="V6" t="str">
        <f>IF('3.Risk Calc'!B6="No","Zero", IF('3.Risk Calc'!N6&lt;=1,"Rare",IF(AND('3.Risk Calc'!N6&gt;1,'3.Risk Calc'!N6&lt;=2),"Unlikely",IF(AND('3.Risk Calc'!N6&gt;2,'3.Risk Calc'!N6&lt;=3),"Possible",IF(AND('3.Risk Calc'!N6&gt;3,'3.Risk Calc'!N6&lt;=4),"Likely",IF('3.Risk Calc'!N6&gt;=4.1,"Almost Certain",0))))))</f>
        <v>Rare</v>
      </c>
      <c r="W6" t="str">
        <f>IF('3.Risk Calc'!B6="No","Zero",IF('3.Risk Calc'!O6&lt;=1,"No Impact",IF(AND('3.Risk Calc'!O6&gt;1,'3.Risk Calc'!O6&lt;=2),"Minor",IF(AND('3.Risk Calc'!O6&gt;2,'3.Risk Calc'!O6&lt;=3),"Medium",IF(AND('3.Risk Calc'!O6&gt;3,'3.Risk Calc'!O6&lt;=4),"Major",IF('3.Risk Calc'!O6&gt;=4.1,"Sever",0))))))</f>
        <v>No Impact</v>
      </c>
    </row>
    <row r="7" spans="1:23" ht="41.5" customHeight="1" x14ac:dyDescent="0.35">
      <c r="A7" t="e">
        <f>INDEX(#REF!,MATCH('2.Assessment Responses'!$D$2,#REF!,0),1)</f>
        <v>#REF!</v>
      </c>
      <c r="B7" t="s">
        <v>77</v>
      </c>
      <c r="C7" s="22">
        <f>'3.Risk Calc'!C7</f>
        <v>0</v>
      </c>
      <c r="D7" s="22">
        <f t="shared" si="0"/>
        <v>0</v>
      </c>
      <c r="E7" t="s">
        <v>12</v>
      </c>
      <c r="F7">
        <f>'3.Risk Calc'!Q7</f>
        <v>0</v>
      </c>
      <c r="I7" s="22" t="e">
        <f>_xlfn.TEXTJOIN(" ,",TRUE,'1.Scenario Controls'!#REF!)</f>
        <v>#REF!</v>
      </c>
      <c r="L7" s="24" t="e">
        <f>INDEX(#REF!,MATCH('2.Assessment Responses'!$D$2,#REF!,0),7)</f>
        <v>#REF!</v>
      </c>
      <c r="S7" t="s">
        <v>78</v>
      </c>
      <c r="V7" t="str">
        <f>IF('3.Risk Calc'!B7="No","Zero", IF('3.Risk Calc'!N7&lt;=1,"Rare",IF(AND('3.Risk Calc'!N7&gt;1,'3.Risk Calc'!N7&lt;=2),"Unlikely",IF(AND('3.Risk Calc'!N7&gt;2,'3.Risk Calc'!N7&lt;=3),"Possible",IF(AND('3.Risk Calc'!N7&gt;3,'3.Risk Calc'!N7&lt;=4),"Likely",IF('3.Risk Calc'!N7&gt;=4.1,"Almost Certain",0))))))</f>
        <v>Rare</v>
      </c>
      <c r="W7" t="str">
        <f>IF('3.Risk Calc'!B7="No","Zero",IF('3.Risk Calc'!O7&lt;=1,"No Impact",IF(AND('3.Risk Calc'!O7&gt;1,'3.Risk Calc'!O7&lt;=2),"Minor",IF(AND('3.Risk Calc'!O7&gt;2,'3.Risk Calc'!O7&lt;=3),"Medium",IF(AND('3.Risk Calc'!O7&gt;3,'3.Risk Calc'!O7&lt;=4),"Major",IF('3.Risk Calc'!O7&gt;=4.1,"Sever",0))))))</f>
        <v>No Impact</v>
      </c>
    </row>
    <row r="10" spans="1:23" x14ac:dyDescent="0.35">
      <c r="A10" s="25"/>
    </row>
    <row r="17" spans="1:1" x14ac:dyDescent="0.35">
      <c r="A17" s="26"/>
    </row>
  </sheetData>
  <hyperlinks>
    <hyperlink ref="L2" r:id="rId1" display="georgios.miskakis@evidentscientific.com" xr:uid="{8C30CB65-B68B-472E-9BBD-400EDF01C0A2}"/>
    <hyperlink ref="L3:L7" r:id="rId2" display="georgios.miskakis@evidentscientific.com" xr:uid="{72BFFCAB-5212-4CB8-91C0-A29D808E364C}"/>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ExportToOT">
                <anchor moveWithCells="1">
                  <from>
                    <xdr:col>10</xdr:col>
                    <xdr:colOff>596900</xdr:colOff>
                    <xdr:row>25</xdr:row>
                    <xdr:rowOff>12700</xdr:rowOff>
                  </from>
                  <to>
                    <xdr:col>14</xdr:col>
                    <xdr:colOff>603250</xdr:colOff>
                    <xdr:row>32</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E86AC7D33AA294F8B9D964DC40622B7" ma:contentTypeVersion="20" ma:contentTypeDescription="Create a new document." ma:contentTypeScope="" ma:versionID="b8770146a74c4ca552023adff86302e4">
  <xsd:schema xmlns:xsd="http://www.w3.org/2001/XMLSchema" xmlns:xs="http://www.w3.org/2001/XMLSchema" xmlns:p="http://schemas.microsoft.com/office/2006/metadata/properties" xmlns:ns2="9b909cd4-d7e6-430c-8db0-c06f3fc13092" xmlns:ns3="66ebee2b-5d1b-47f9-9a56-49d27beda89f" targetNamespace="http://schemas.microsoft.com/office/2006/metadata/properties" ma:root="true" ma:fieldsID="30e26abd755a1b45995cfb275892cb92" ns2:_="" ns3:_="">
    <xsd:import namespace="9b909cd4-d7e6-430c-8db0-c06f3fc13092"/>
    <xsd:import namespace="66ebee2b-5d1b-47f9-9a56-49d27beda89f"/>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SearchProperties" minOccurs="0"/>
                <xsd:element ref="ns2:MediaServiceObjectDetectorVersion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909cd4-d7e6-430c-8db0-c06f3fc13092" elementFormDefault="qualified">
    <xsd:import namespace="http://schemas.microsoft.com/office/2006/documentManagement/types"/>
    <xsd:import namespace="http://schemas.microsoft.com/office/infopath/2007/PartnerControls"/>
    <xsd:element name="MediaServiceMetadata" ma:index="5" nillable="true" ma:displayName="MediaServiceMetadata" ma:hidden="true" ma:internalName="MediaServiceMetadata" ma:readOnly="true">
      <xsd:simpleType>
        <xsd:restriction base="dms:Note"/>
      </xsd:simpleType>
    </xsd:element>
    <xsd:element name="MediaServiceFastMetadata" ma:index="6"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4d8b08e6-b8b8-4b61-9548-f88fe8eba006"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6ebee2b-5d1b-47f9-9a56-49d27beda89f"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3735e57f-316b-4bed-8f8d-33828137c116}" ma:internalName="TaxCatchAll" ma:showField="CatchAllData" ma:web="66ebee2b-5d1b-47f9-9a56-49d27beda89f">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66ebee2b-5d1b-47f9-9a56-49d27beda89f" xsi:nil="true"/>
    <lcf76f155ced4ddcb4097134ff3c332f xmlns="9b909cd4-d7e6-430c-8db0-c06f3fc1309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9BCBA0C-C677-43F8-BE1A-1466E56B3792}">
  <ds:schemaRefs>
    <ds:schemaRef ds:uri="http://schemas.microsoft.com/sharepoint/v3/contenttype/forms"/>
  </ds:schemaRefs>
</ds:datastoreItem>
</file>

<file path=customXml/itemProps2.xml><?xml version="1.0" encoding="utf-8"?>
<ds:datastoreItem xmlns:ds="http://schemas.openxmlformats.org/officeDocument/2006/customXml" ds:itemID="{CB4B0B16-9E22-4C70-B1E9-C667F6B4CC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909cd4-d7e6-430c-8db0-c06f3fc13092"/>
    <ds:schemaRef ds:uri="66ebee2b-5d1b-47f9-9a56-49d27beda8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C4A5921-EAC1-499C-83B8-486EDBB81423}">
  <ds:schemaRefs>
    <ds:schemaRef ds:uri="http://schemas.microsoft.com/office/2006/metadata/properties"/>
    <ds:schemaRef ds:uri="http://schemas.microsoft.com/office/infopath/2007/PartnerControls"/>
    <ds:schemaRef ds:uri="66ebee2b-5d1b-47f9-9a56-49d27beda89f"/>
    <ds:schemaRef ds:uri="9b909cd4-d7e6-430c-8db0-c06f3fc13092"/>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1.Scenario Controls</vt:lpstr>
      <vt:lpstr>2.Assessment Responses</vt:lpstr>
      <vt:lpstr>3.Risk Calc</vt:lpstr>
      <vt:lpstr>BulkExport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Demo Risk Management</dc:title>
  <dc:subject/>
  <dc:creator>Jiorgos miskakis</dc:creator>
  <cp:keywords>Jiorgos</cp:keywords>
  <dc:description/>
  <cp:lastModifiedBy>Georgios Miskakis</cp:lastModifiedBy>
  <cp:revision/>
  <dcterms:created xsi:type="dcterms:W3CDTF">2020-04-28T18:46:44Z</dcterms:created>
  <dcterms:modified xsi:type="dcterms:W3CDTF">2025-06-17T04:31:42Z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faf958b8-d76f-4c81-9979-6e781e730af5</vt:lpwstr>
  </property>
  <property fmtid="{D5CDD505-2E9C-101B-9397-08002B2CF9AE}" pid="3" name="MSIP_Label_d5a3b3d1-43a1-4cb9-bcfb-f51bbaaf59e2_Enabled">
    <vt:lpwstr>true</vt:lpwstr>
  </property>
  <property fmtid="{D5CDD505-2E9C-101B-9397-08002B2CF9AE}" pid="4" name="MSIP_Label_d5a3b3d1-43a1-4cb9-bcfb-f51bbaaf59e2_SetDate">
    <vt:lpwstr>2022-09-07T20:57:03Z</vt:lpwstr>
  </property>
  <property fmtid="{D5CDD505-2E9C-101B-9397-08002B2CF9AE}" pid="5" name="MSIP_Label_d5a3b3d1-43a1-4cb9-bcfb-f51bbaaf59e2_Method">
    <vt:lpwstr>Standard</vt:lpwstr>
  </property>
  <property fmtid="{D5CDD505-2E9C-101B-9397-08002B2CF9AE}" pid="6" name="MSIP_Label_d5a3b3d1-43a1-4cb9-bcfb-f51bbaaf59e2_Name">
    <vt:lpwstr>Proprietary</vt:lpwstr>
  </property>
  <property fmtid="{D5CDD505-2E9C-101B-9397-08002B2CF9AE}" pid="7" name="MSIP_Label_d5a3b3d1-43a1-4cb9-bcfb-f51bbaaf59e2_SiteId">
    <vt:lpwstr>9d1d17d8-372b-4b23-a9fc-1e5d895c89a1</vt:lpwstr>
  </property>
  <property fmtid="{D5CDD505-2E9C-101B-9397-08002B2CF9AE}" pid="8" name="MSIP_Label_d5a3b3d1-43a1-4cb9-bcfb-f51bbaaf59e2_ActionId">
    <vt:lpwstr>f97426c8-5445-4789-9f2d-ab299235d754</vt:lpwstr>
  </property>
  <property fmtid="{D5CDD505-2E9C-101B-9397-08002B2CF9AE}" pid="9" name="MSIP_Label_d5a3b3d1-43a1-4cb9-bcfb-f51bbaaf59e2_ContentBits">
    <vt:lpwstr>2</vt:lpwstr>
  </property>
  <property fmtid="{D5CDD505-2E9C-101B-9397-08002B2CF9AE}" pid="10" name="ContentTypeId">
    <vt:lpwstr>0x010100EE86AC7D33AA294F8B9D964DC40622B7</vt:lpwstr>
  </property>
  <property fmtid="{D5CDD505-2E9C-101B-9397-08002B2CF9AE}" pid="11" name="MediaServiceImageTags">
    <vt:lpwstr/>
  </property>
  <property fmtid="{D5CDD505-2E9C-101B-9397-08002B2CF9AE}" pid="12" name="MSIP_Label_9d7f1700-fce0-4750-aca6-ce9d4d64ddfa_Enabled">
    <vt:lpwstr>true</vt:lpwstr>
  </property>
  <property fmtid="{D5CDD505-2E9C-101B-9397-08002B2CF9AE}" pid="13" name="MSIP_Label_9d7f1700-fce0-4750-aca6-ce9d4d64ddfa_SetDate">
    <vt:lpwstr>2025-05-05T09:42:02Z</vt:lpwstr>
  </property>
  <property fmtid="{D5CDD505-2E9C-101B-9397-08002B2CF9AE}" pid="14" name="MSIP_Label_9d7f1700-fce0-4750-aca6-ce9d4d64ddfa_Method">
    <vt:lpwstr>Privileged</vt:lpwstr>
  </property>
  <property fmtid="{D5CDD505-2E9C-101B-9397-08002B2CF9AE}" pid="15" name="MSIP_Label_9d7f1700-fce0-4750-aca6-ce9d4d64ddfa_Name">
    <vt:lpwstr>Public</vt:lpwstr>
  </property>
  <property fmtid="{D5CDD505-2E9C-101B-9397-08002B2CF9AE}" pid="16" name="MSIP_Label_9d7f1700-fce0-4750-aca6-ce9d4d64ddfa_SiteId">
    <vt:lpwstr>de05852a-b710-4511-a1c5-21f394afd842</vt:lpwstr>
  </property>
  <property fmtid="{D5CDD505-2E9C-101B-9397-08002B2CF9AE}" pid="17" name="MSIP_Label_9d7f1700-fce0-4750-aca6-ce9d4d64ddfa_ActionId">
    <vt:lpwstr>a9c8c933-e28c-49c5-adee-b9779f9a99c4</vt:lpwstr>
  </property>
  <property fmtid="{D5CDD505-2E9C-101B-9397-08002B2CF9AE}" pid="18" name="MSIP_Label_9d7f1700-fce0-4750-aca6-ce9d4d64ddfa_ContentBits">
    <vt:lpwstr>0</vt:lpwstr>
  </property>
  <property fmtid="{D5CDD505-2E9C-101B-9397-08002B2CF9AE}" pid="19" name="MSIP_Label_9d7f1700-fce0-4750-aca6-ce9d4d64ddfa_Tag">
    <vt:lpwstr>10, 0, 1, 1</vt:lpwstr>
  </property>
</Properties>
</file>